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" sheetId="1" state="visible" r:id="rId1"/>
    <sheet name="1월" sheetId="2" state="visible" r:id="rId2"/>
    <sheet name="2월" sheetId="3" state="visible" r:id="rId3"/>
    <sheet name="3월" sheetId="4" state="visible" r:id="rId4"/>
    <sheet name="4월" sheetId="5" state="visible" r:id="rId5"/>
    <sheet name="5월" sheetId="6" state="visible" r:id="rId6"/>
    <sheet name="6월" sheetId="7" state="visible" r:id="rId7"/>
    <sheet name="7월" sheetId="8" state="visible" r:id="rId8"/>
    <sheet name="8월" sheetId="9" state="visible" r:id="rId9"/>
    <sheet name="9월" sheetId="10" state="visible" r:id="rId10"/>
    <sheet name="10월" sheetId="11" state="visible" r:id="rId11"/>
    <sheet name="11월" sheetId="12" state="visible" r:id="rId12"/>
    <sheet name="12월" sheetId="13" state="visible" r:id="rId13"/>
    <sheet name="(필수)설정 시트" sheetId="14" state="visible" r:id="rId14"/>
    <sheet name="도움말 시트" sheetId="15" state="visible" r:id="rId15"/>
    <sheet name="설정-카테고리" sheetId="16" state="visible" r:id="rId16"/>
    <sheet name="설정-결제수단" sheetId="17" state="visible" r:id="rId17"/>
  </sheets>
  <definedNames>
    <definedName name="지출대분류">'(필수)설정 시트'!$E$41:$E$50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[$₩-412]#,##0"/>
    <numFmt numFmtId="165" formatCode="[$₩-412] #,##0"/>
    <numFmt numFmtId="166" formatCode="#월"/>
    <numFmt numFmtId="167" formatCode="####년"/>
    <numFmt numFmtId="168" formatCode="##일"/>
    <numFmt numFmtId="169" formatCode="yyyy. M. d"/>
    <numFmt numFmtId="170" formatCode="- ###,###"/>
    <numFmt numFmtId="171" formatCode="####년 ##월 ##일"/>
    <numFmt numFmtId="172" formatCode="yyyy년m월d일"/>
    <numFmt numFmtId="173" formatCode="#,##0원"/>
    <numFmt numFmtId="174" formatCode="#,##0개월"/>
    <numFmt numFmtId="175" formatCode="yyyy년mm월dd일"/>
    <numFmt numFmtId="176" formatCode="#,##0 원"/>
  </numFmts>
  <fonts count="31">
    <font>
      <name val="Arial"/>
      <color rgb="FF000000"/>
      <sz val="10"/>
      <scheme val="minor"/>
    </font>
    <font>
      <name val="Hahmlet"/>
      <b val="1"/>
      <color rgb="FF597093"/>
      <sz val="24"/>
    </font>
    <font>
      <name val="Arial"/>
      <b val="1"/>
      <color theme="1"/>
      <scheme val="minor"/>
    </font>
    <font>
      <name val="Hahmlet"/>
      <color theme="1"/>
    </font>
    <font>
      <name val="Hahmlet"/>
      <b val="1"/>
      <color rgb="FFFFFFFF"/>
    </font>
    <font>
      <name val="Malgun Gothic"/>
      <b val="1"/>
      <color theme="1"/>
    </font>
    <font>
      <name val="Malgun Gothic"/>
      <b val="1"/>
      <color rgb="FF597093"/>
      <sz val="35"/>
    </font>
    <font>
      <name val="Malgun Gothic"/>
      <b val="1"/>
      <color rgb="FF597093"/>
      <sz val="24"/>
    </font>
    <font>
      <name val="Malgun Gothic"/>
      <b val="1"/>
      <color theme="1"/>
      <sz val="9"/>
    </font>
    <font>
      <name val="Malgun Gothic"/>
      <b val="1"/>
      <color rgb="FFFFFFFF"/>
    </font>
    <font>
      <name val="Hahmlet"/>
      <color rgb="FFFFFFFF"/>
    </font>
    <font>
      <name val="Malgun Gothic"/>
      <b val="1"/>
      <color rgb="FF597093"/>
      <sz val="12"/>
    </font>
    <font>
      <name val="Malgun Gothic"/>
      <color theme="1"/>
    </font>
    <font>
      <name val="Malgun Gothic"/>
      <b val="1"/>
      <color rgb="FFCC0000"/>
    </font>
    <font/>
    <font>
      <name val="Malgun Gothic"/>
      <b val="1"/>
      <color theme="4"/>
    </font>
    <font>
      <name val="Hahmlet"/>
      <b val="1"/>
      <color rgb="FF674EA7"/>
    </font>
    <font>
      <name val="Malgun Gothic"/>
      <b val="1"/>
      <color rgb="FFFFFFFF"/>
      <sz val="12"/>
    </font>
    <font>
      <name val="Malgun Gothic"/>
      <b val="1"/>
      <color rgb="FF000000"/>
    </font>
    <font>
      <name val="맑은 고딕"/>
      <color rgb="FF000000"/>
      <sz val="11"/>
    </font>
    <font>
      <name val="Malgun Gothic"/>
      <b val="1"/>
      <color theme="1"/>
      <sz val="20"/>
    </font>
    <font>
      <name val="Hahmlet"/>
      <b val="1"/>
      <color rgb="FF000000"/>
    </font>
    <font>
      <name val="Arial"/>
      <b val="1"/>
      <color rgb="FF000000"/>
    </font>
    <font>
      <name val="Malgun Gothic"/>
      <b val="1"/>
      <color theme="1"/>
      <sz val="11"/>
    </font>
    <font>
      <name val="Malgun Gothic"/>
      <b val="1"/>
      <color theme="1"/>
      <sz val="12"/>
    </font>
    <font>
      <name val="Malgun Gothic"/>
      <b val="1"/>
      <color theme="1"/>
      <sz val="10"/>
    </font>
    <font>
      <name val="Malgun Gothic"/>
      <b val="1"/>
      <color theme="0"/>
    </font>
    <font>
      <name val="Arial"/>
      <color theme="1"/>
      <scheme val="minor"/>
    </font>
    <font>
      <b val="1"/>
      <color rgb="FFFFFFFF"/>
      <sz val="10"/>
    </font>
    <font>
      <b val="1"/>
      <sz val="10"/>
    </font>
    <font>
      <sz val="10"/>
    </font>
  </fonts>
  <fills count="12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A4AFC0"/>
        <bgColor rgb="FFA4AFC0"/>
      </patternFill>
    </fill>
    <fill>
      <patternFill patternType="solid">
        <fgColor rgb="FF597093"/>
        <bgColor rgb="FF597093"/>
      </patternFill>
    </fill>
    <fill>
      <patternFill patternType="solid">
        <fgColor rgb="FF8E7CC3"/>
        <bgColor rgb="FF8E7CC3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97093"/>
      </left>
      <right style="thin">
        <color rgb="FF597093"/>
      </right>
      <top style="thin">
        <color rgb="FF597093"/>
      </top>
    </border>
    <border>
      <left style="thin">
        <color rgb="FF597093"/>
      </left>
      <right style="thin">
        <color rgb="FF597093"/>
      </right>
    </border>
    <border>
      <left style="thin">
        <color rgb="FF000000"/>
      </left>
      <right style="thin">
        <color rgb="FF000000"/>
      </right>
    </border>
    <border>
      <left style="thin">
        <color rgb="FF597093"/>
      </left>
      <right style="thin">
        <color rgb="FF597093"/>
      </right>
      <bottom style="thin">
        <color rgb="FF597093"/>
      </bottom>
    </border>
    <border>
      <left style="thin">
        <color rgb="FF597093"/>
      </left>
      <top style="thin">
        <color rgb="FF597093"/>
      </top>
    </border>
    <border>
      <top style="thin">
        <color rgb="FF597093"/>
      </top>
    </border>
    <border>
      <right style="thin">
        <color rgb="FF597093"/>
      </right>
      <top style="thin">
        <color rgb="FF59709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597093"/>
      </left>
      <right style="medium">
        <color rgb="FF597093"/>
      </right>
      <top style="medium">
        <color rgb="FF597093"/>
      </top>
    </border>
    <border>
      <left style="medium">
        <color rgb="FF597093"/>
      </left>
      <right style="medium">
        <color rgb="FF597093"/>
      </right>
    </border>
    <border>
      <left style="thin">
        <color rgb="FF597093"/>
      </left>
      <top style="thin">
        <color rgb="FF597093"/>
      </top>
      <bottom style="thin">
        <color rgb="FF597093"/>
      </bottom>
    </border>
    <border>
      <right style="thin">
        <color rgb="FF597093"/>
      </right>
      <top style="thin">
        <color rgb="FF597093"/>
      </top>
      <bottom style="thin">
        <color rgb="FF597093"/>
      </bottom>
    </border>
    <border>
      <right style="thin">
        <color rgb="FF597093"/>
      </right>
      <bottom style="dotted">
        <color rgb="FF597093"/>
      </bottom>
    </border>
    <border>
      <left style="thin">
        <color rgb="FF597093"/>
      </left>
      <right style="dotted">
        <color rgb="FF597093"/>
      </right>
      <bottom style="dotted">
        <color rgb="FF597093"/>
      </bottom>
    </border>
    <border>
      <left style="thin">
        <color rgb="FF597093"/>
      </left>
      <right style="dotted">
        <color rgb="FF597093"/>
      </right>
      <bottom style="thin">
        <color rgb="FF597093"/>
      </bottom>
    </border>
    <border>
      <right style="thin">
        <color rgb="FF597093"/>
      </right>
      <bottom style="thin">
        <color rgb="FF597093"/>
      </bottom>
    </border>
    <border>
      <left style="medium">
        <color rgb="FF597093"/>
      </left>
      <right style="medium">
        <color rgb="FF597093"/>
      </right>
      <bottom style="medium">
        <color rgb="FF597093"/>
      </bottom>
    </border>
    <border>
      <right style="thin">
        <color rgb="FF597093"/>
      </right>
    </border>
    <border>
      <left style="thin">
        <color rgb="FF000000"/>
      </left>
    </border>
    <border>
      <left style="thin">
        <color rgb="FF597093"/>
      </left>
      <right style="thin">
        <color rgb="FF597093"/>
      </right>
      <top style="thin">
        <color rgb="FF597093"/>
      </top>
      <bottom style="thin">
        <color rgb="FF597093"/>
      </bottom>
    </border>
    <border>
      <left style="thin">
        <color rgb="FF597093"/>
      </left>
    </border>
    <border>
      <left style="medium">
        <color rgb="FF597093"/>
      </left>
      <right style="medium">
        <color rgb="FF597093"/>
      </right>
      <top style="medium">
        <color rgb="FF597093"/>
      </top>
      <bottom style="medium">
        <color rgb="FF597093"/>
      </bottom>
    </border>
    <border>
      <left style="medium">
        <color rgb="FF597093"/>
      </left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bottom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bottom"/>
    </xf>
    <xf numFmtId="0" fontId="10" fillId="7" borderId="0" applyAlignment="1" pivotButton="0" quotePrefix="0" xfId="0">
      <alignment horizontal="center" vertical="bottom"/>
    </xf>
    <xf numFmtId="0" fontId="10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 vertical="bottom"/>
    </xf>
    <xf numFmtId="169" fontId="12" fillId="0" borderId="1" applyAlignment="1" pivotButton="0" quotePrefix="0" xfId="0">
      <alignment horizontal="center" vertical="center"/>
    </xf>
    <xf numFmtId="170" fontId="13" fillId="0" borderId="1" applyAlignment="1" pivotButton="0" quotePrefix="0" xfId="0">
      <alignment horizontal="center" vertical="center"/>
    </xf>
    <xf numFmtId="0" fontId="14" fillId="0" borderId="2" pivotButton="0" quotePrefix="0" xfId="0"/>
    <xf numFmtId="10" fontId="15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bottom"/>
    </xf>
    <xf numFmtId="0" fontId="17" fillId="9" borderId="0" applyAlignment="1" pivotButton="0" quotePrefix="0" xfId="0">
      <alignment horizontal="center" vertical="center"/>
    </xf>
    <xf numFmtId="164" fontId="10" fillId="9" borderId="0" applyAlignment="1" pivotButton="0" quotePrefix="0" xfId="0">
      <alignment horizontal="center" vertical="bottom"/>
    </xf>
    <xf numFmtId="0" fontId="18" fillId="2" borderId="3" applyAlignment="1" pivotButton="0" quotePrefix="0" xfId="0">
      <alignment horizontal="center" vertical="center"/>
    </xf>
    <xf numFmtId="0" fontId="14" fillId="0" borderId="4" pivotButton="0" quotePrefix="0" xfId="0"/>
    <xf numFmtId="0" fontId="14" fillId="0" borderId="5" pivotButton="0" quotePrefix="0" xfId="0"/>
    <xf numFmtId="0" fontId="5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4" fillId="0" borderId="6" pivotButton="0" quotePrefix="0" xfId="0"/>
    <xf numFmtId="0" fontId="18" fillId="2" borderId="7" applyAlignment="1" pivotButton="0" quotePrefix="0" xfId="0">
      <alignment horizontal="center" vertical="center"/>
    </xf>
    <xf numFmtId="0" fontId="14" fillId="0" borderId="8" pivotButton="0" quotePrefix="0" xfId="0"/>
    <xf numFmtId="0" fontId="14" fillId="0" borderId="9" pivotButton="0" quotePrefix="0" xfId="0"/>
    <xf numFmtId="0" fontId="5" fillId="10" borderId="10" applyAlignment="1" pivotButton="0" quotePrefix="0" xfId="0">
      <alignment horizontal="center" vertical="center"/>
    </xf>
    <xf numFmtId="164" fontId="5" fillId="10" borderId="1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171" fontId="20" fillId="0" borderId="0" applyAlignment="1" pivotButton="0" quotePrefix="0" xfId="0">
      <alignment horizontal="center" vertical="center"/>
    </xf>
    <xf numFmtId="167" fontId="1" fillId="2" borderId="0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14" fillId="0" borderId="12" pivotButton="0" quotePrefix="0" xfId="0"/>
    <xf numFmtId="0" fontId="5" fillId="11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71" fontId="5" fillId="0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173" fontId="5" fillId="0" borderId="0" applyAlignment="1" pivotButton="0" quotePrefix="0" xfId="0">
      <alignment horizontal="center" vertical="center"/>
    </xf>
    <xf numFmtId="174" fontId="5" fillId="0" borderId="0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175" fontId="5" fillId="0" borderId="0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2" fillId="0" borderId="16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14" fillId="0" borderId="19" pivotButton="0" quotePrefix="0" xfId="0"/>
    <xf numFmtId="0" fontId="4" fillId="7" borderId="6" applyAlignment="1" pivotButton="0" quotePrefix="0" xfId="0">
      <alignment horizontal="center" vertical="center"/>
    </xf>
    <xf numFmtId="0" fontId="4" fillId="7" borderId="18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0" fontId="21" fillId="0" borderId="17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76" fontId="5" fillId="0" borderId="0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2" borderId="4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0" fontId="27" fillId="0" borderId="0" pivotButton="0" quotePrefix="0" xfId="0"/>
    <xf numFmtId="0" fontId="27" fillId="0" borderId="0" pivotButton="0" quotePrefix="0" xfId="0"/>
    <xf numFmtId="0" fontId="0" fillId="0" borderId="0" pivotButton="0" quotePrefix="0" xfId="0"/>
    <xf numFmtId="170" fontId="13" fillId="0" borderId="10" applyAlignment="1" pivotButton="0" quotePrefix="0" xfId="0">
      <alignment horizontal="center" vertical="center"/>
    </xf>
    <xf numFmtId="0" fontId="0" fillId="0" borderId="2" pivotButton="0" quotePrefix="0" xfId="0"/>
    <xf numFmtId="0" fontId="18" fillId="2" borderId="2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2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9" pivotButton="0" quotePrefix="0" xfId="0"/>
    <xf numFmtId="0" fontId="21" fillId="2" borderId="22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28" fillId="8" borderId="26" applyAlignment="1" pivotButton="0" quotePrefix="0" xfId="0">
      <alignment horizontal="center" vertical="center"/>
    </xf>
    <xf numFmtId="0" fontId="29" fillId="2" borderId="26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28" fillId="7" borderId="26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b val="1"/>
        <color rgb="FFE06666"/>
      </font>
      <fill>
        <patternFill/>
      </fill>
      <border/>
    </dxf>
    <dxf>
      <font>
        <b val="1"/>
        <color rgb="FF6DF16D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285F4"/>
              </a:solidFill>
              <a:ln>
                <a:prstDash val="solid"/>
              </a:ln>
            </spPr>
          </dPt>
          <dPt>
            <idx val="1"/>
            <spPr>
              <a:solidFill>
                <a:srgbClr val="EA4335"/>
              </a:solidFill>
              <a:ln>
                <a:prstDash val="solid"/>
              </a:ln>
            </spPr>
          </dPt>
          <dPt>
            <idx val="2"/>
            <spPr>
              <a:solidFill>
                <a:srgbClr val="38761D"/>
              </a:solidFill>
              <a:ln>
                <a:prstDash val="solid"/>
              </a:ln>
            </spPr>
          </dPt>
          <dPt>
            <idx val="3"/>
            <spPr>
              <a:solidFill>
                <a:srgbClr val="34A853"/>
              </a:solidFill>
              <a:ln>
                <a:prstDash val="solid"/>
              </a:ln>
            </spPr>
          </dPt>
          <dPt>
            <idx val="4"/>
            <spPr>
              <a:solidFill>
                <a:srgbClr val="FF6D01"/>
              </a:solidFill>
              <a:ln>
                <a:prstDash val="solid"/>
              </a:ln>
            </spPr>
          </dPt>
          <dPt>
            <idx val="5"/>
            <spPr>
              <a:solidFill>
                <a:srgbClr val="46BDC6"/>
              </a:solidFill>
              <a:ln>
                <a:prstDash val="solid"/>
              </a:ln>
            </spPr>
          </dPt>
          <dPt>
            <idx val="6"/>
            <spPr>
              <a:solidFill>
                <a:srgbClr val="7BAAF7"/>
              </a:solidFill>
              <a:ln>
                <a:prstDash val="solid"/>
              </a:ln>
            </spPr>
          </dPt>
          <dPt>
            <idx val="7"/>
            <spPr>
              <a:solidFill>
                <a:srgbClr val="F07B72"/>
              </a:solidFill>
              <a:ln>
                <a:prstDash val="solid"/>
              </a:ln>
            </spPr>
          </dPt>
          <dPt>
            <idx val="8"/>
            <spPr>
              <a:solidFill>
                <a:srgbClr val="FCD04F"/>
              </a:solidFill>
              <a:ln>
                <a:prstDash val="solid"/>
              </a:ln>
            </spPr>
          </dPt>
          <dPt>
            <idx val="9"/>
            <spPr>
              <a:solidFill>
                <a:srgbClr val="71C287"/>
              </a:solidFill>
              <a:ln>
                <a:prstDash val="solid"/>
              </a:ln>
            </spPr>
          </dPt>
          <dPt>
            <idx val="10"/>
            <spPr>
              <a:solidFill>
                <a:srgbClr val="FF994D"/>
              </a:solidFill>
              <a:ln>
                <a:prstDash val="solid"/>
              </a:ln>
            </spPr>
          </dPt>
          <dPt>
            <idx val="11"/>
            <spPr>
              <a:solidFill>
                <a:srgbClr val="7ED1D7"/>
              </a:solidFill>
              <a:ln>
                <a:prstDash val="solid"/>
              </a:ln>
            </spPr>
          </dPt>
          <dPt>
            <idx val="12"/>
            <spPr>
              <a:solidFill>
                <a:srgbClr val="B3CEFB"/>
              </a:solidFill>
              <a:ln>
                <a:prstDash val="solid"/>
              </a:ln>
            </spPr>
          </dPt>
          <dPt>
            <idx val="13"/>
            <spPr>
              <a:solidFill>
                <a:srgbClr val="F7B4AE"/>
              </a:solidFill>
              <a:ln>
                <a:prstDash val="solid"/>
              </a:ln>
            </spPr>
          </dPt>
          <dPt>
            <idx val="14"/>
            <spPr>
              <a:ln>
                <a:prstDash val="solid"/>
              </a:ln>
            </spPr>
          </dPt>
          <dPt>
            <idx val="15"/>
            <spPr>
              <a:ln>
                <a:prstDash val="solid"/>
              </a:ln>
            </spPr>
          </dPt>
          <dPt>
            <idx val="16"/>
            <spPr>
              <a:ln>
                <a:prstDash val="solid"/>
              </a:ln>
            </spPr>
          </dPt>
          <dPt>
            <idx val="17"/>
            <spPr>
              <a:ln>
                <a:prstDash val="solid"/>
              </a:ln>
            </spPr>
          </dPt>
          <dPt>
            <idx val="18"/>
            <spPr>
              <a:ln>
                <a:prstDash val="solid"/>
              </a:ln>
            </spPr>
          </dPt>
          <dPt>
            <idx val="19"/>
            <spPr>
              <a:ln>
                <a:prstDash val="solid"/>
              </a:ln>
            </spPr>
          </dPt>
          <dPt>
            <idx val="20"/>
            <spPr>
              <a:ln>
                <a:prstDash val="solid"/>
              </a:ln>
            </spPr>
          </dPt>
          <dPt>
            <idx val="21"/>
            <spPr>
              <a:ln>
                <a:prstDash val="solid"/>
              </a:ln>
            </spPr>
          </dPt>
          <dPt>
            <idx val="22"/>
            <spPr>
              <a:ln>
                <a:prstDash val="solid"/>
              </a:ln>
            </spPr>
          </dPt>
          <dPt>
            <idx val="23"/>
            <spPr>
              <a:ln>
                <a:prstDash val="solid"/>
              </a:ln>
            </spPr>
          </dPt>
          <dPt>
            <idx val="24"/>
            <spPr>
              <a:ln>
                <a:prstDash val="solid"/>
              </a:ln>
            </spPr>
          </dPt>
          <dPt>
            <idx val="25"/>
            <spPr>
              <a:ln>
                <a:prstDash val="solid"/>
              </a:ln>
            </spPr>
          </dPt>
          <dPt>
            <idx val="26"/>
            <spPr>
              <a:ln>
                <a:prstDash val="solid"/>
              </a:ln>
            </spPr>
          </dPt>
          <dPt>
            <idx val="27"/>
            <spPr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val>
            <numRef>
              <f>('2026'!$B$31:$B$44,'2026'!$C$31:$C$44)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50"/>
      </doughnut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ser>
          <idx val="0"/>
          <order val="0"/>
          <tx>
            <strRef>
              <f>'2026'!$C$30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'2026'!$C$31:$C$33</f>
              <numCache/>
            </numRef>
          </val>
        </ser>
        <ser>
          <idx val="1"/>
          <order val="1"/>
          <tx>
            <strRef>
              <f>'2026'!$D$30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'2026'!$D$31:$D$33</f>
              <numCache/>
            </numRef>
          </val>
        </ser>
        <ser>
          <idx val="2"/>
          <order val="2"/>
          <tx>
            <strRef>
              <f>'2026'!$E$30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'2026'!$E$31:$E$33</f>
              <numCache/>
            </numRef>
          </val>
        </ser>
        <ser>
          <idx val="3"/>
          <order val="3"/>
          <tx>
            <strRef>
              <f>'2026'!$F$30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'2026'!$F$31:$F$33</f>
              <numCache/>
            </numRef>
          </val>
        </ser>
        <ser>
          <idx val="4"/>
          <order val="4"/>
          <tx>
            <strRef>
              <f>'2026'!$G$30</f>
            </strRef>
          </tx>
          <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'2026'!$G$31:$G$33</f>
              <numCache/>
            </numRef>
          </val>
        </ser>
        <ser>
          <idx val="5"/>
          <order val="5"/>
          <tx>
            <strRef>
              <f>'2026'!$H$30</f>
            </strRef>
          </tx>
          <spPr>
            <a:solidFill>
              <a:schemeClr val="accent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'2026'!$H$31:$H$33</f>
              <numCache/>
            </numRef>
          </val>
        </ser>
        <ser>
          <idx val="6"/>
          <order val="6"/>
          <tx>
            <strRef>
              <f>'2026'!$I$30</f>
            </strRef>
          </tx>
          <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'2026'!$I$31:$I$33</f>
              <numCache/>
            </numRef>
          </val>
        </ser>
        <ser>
          <idx val="7"/>
          <order val="7"/>
          <tx>
            <strRef>
              <f>'2026'!$J$30</f>
            </strRef>
          </tx>
          <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'2026'!$J$31:$J$33</f>
              <numCache/>
            </numRef>
          </val>
        </ser>
        <ser>
          <idx val="8"/>
          <order val="8"/>
          <tx>
            <strRef>
              <f>'2026'!$K$30</f>
            </strRef>
          </tx>
          <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'2026'!$K$31:$K$33</f>
              <numCache/>
            </numRef>
          </val>
        </ser>
        <ser>
          <idx val="9"/>
          <order val="9"/>
          <tx>
            <strRef>
              <f>'2026'!$L$30</f>
            </strRef>
          </tx>
          <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'2026'!$L$31:$L$33</f>
              <numCache/>
            </numRef>
          </val>
        </ser>
        <ser>
          <idx val="10"/>
          <order val="10"/>
          <tx>
            <strRef>
              <f>'2026'!$M$30</f>
            </strRef>
          </tx>
          <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'2026'!$M$31:$M$33</f>
              <numCache/>
            </numRef>
          </val>
        </ser>
        <ser>
          <idx val="11"/>
          <order val="11"/>
          <tx>
            <strRef>
              <f>'2026'!$N$30</f>
            </strRef>
          </tx>
          <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'2026'!$B$31:$B$33</f>
            </strRef>
          </cat>
          <val>
            <numRef>
              <f>'2026'!$N$31:$N$33</f>
              <numCache/>
            </numRef>
          </val>
        </ser>
        <ser>
          <idx val="12"/>
          <order val="12"/>
          <tx>
            <strRef>
              <f>'2026'!$O$30</f>
            </strRef>
          </tx>
          <spPr>
            <a:ln>
              <a:prstDash val="solid"/>
            </a:ln>
          </spPr>
          <cat>
            <strRef>
              <f>'2026'!$B$31:$B$33</f>
            </strRef>
          </cat>
          <val>
            <numRef>
              <f>'2026'!$O$31:$O$33</f>
              <numCache/>
            </numRef>
          </val>
        </ser>
        <gapWidth val="150"/>
        <axId val="1279864004"/>
        <axId val="234073799"/>
      </barChart>
      <catAx>
        <axId val="127986400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34073799"/>
        <lblOffset val="100"/>
      </catAx>
      <valAx>
        <axId val="23407379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79864004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F18" authorId="0" shapeId="0">
      <text>
        <t xml:space="preserve">[날짜 / 내용 / +금액]
01.15 틱톡 + 3,000
</t>
      </text>
    </comment>
    <comment ref="F19" authorId="0" shapeId="0">
      <text>
        <t xml:space="preserve">[날짜 / 내용 / +금액]
01.15 이자 + 600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257175</colOff>
      <row>17</row>
      <rowOff>28575</rowOff>
    </from>
    <ext cx="4095750" cy="23050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257175</colOff>
      <row>2</row>
      <rowOff>190500</rowOff>
    </from>
    <ext cx="14420850" cy="28003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5</col>
      <colOff>247650</colOff>
      <row>17</row>
      <rowOff>28575</rowOff>
    </from>
    <ext cx="10296525" cy="2305050"/>
    <pic>
      <nvPicPr>
        <cNvPr id="2126568330" name="Chart2" title="차트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104775</colOff>
      <row>5</row>
      <rowOff>190500</rowOff>
    </from>
    <ext cx="1885950" cy="609600"/>
    <pic>
      <nvPicPr>
        <cNvPr id="0" name="image1.png" title="이미지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5"/>
  <sheetViews>
    <sheetView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2.63" customWidth="1" style="102" min="4" max="16"/>
  </cols>
  <sheetData>
    <row r="1">
      <c r="B1" s="1" t="n">
        <v>2026</v>
      </c>
      <c r="E1" s="2" t="inlineStr">
        <is>
          <t>연 총 수입</t>
        </is>
      </c>
      <c r="G1" s="2" t="inlineStr">
        <is>
          <t>연 총 저축/현금</t>
        </is>
      </c>
      <c r="I1" s="2" t="inlineStr">
        <is>
          <t>연 총 지출</t>
        </is>
      </c>
    </row>
    <row r="2"/>
    <row r="3">
      <c r="E3" s="3">
        <f>P31</f>
        <v/>
      </c>
      <c r="G3" s="3">
        <f>P32</f>
        <v/>
      </c>
      <c r="I3" s="4">
        <f>P33</f>
        <v/>
      </c>
    </row>
    <row r="30">
      <c r="B30" s="5" t="inlineStr">
        <is>
          <t>1년 총 비용</t>
        </is>
      </c>
      <c r="D30" s="6" t="inlineStr">
        <is>
          <t>1월</t>
        </is>
      </c>
      <c r="E30" s="6" t="inlineStr">
        <is>
          <t>2월</t>
        </is>
      </c>
      <c r="F30" s="6" t="inlineStr">
        <is>
          <t>3월</t>
        </is>
      </c>
      <c r="G30" s="6" t="inlineStr">
        <is>
          <t>4월</t>
        </is>
      </c>
      <c r="H30" s="6" t="inlineStr">
        <is>
          <t>5월</t>
        </is>
      </c>
      <c r="I30" s="6" t="inlineStr">
        <is>
          <t>6월</t>
        </is>
      </c>
      <c r="J30" s="6" t="inlineStr">
        <is>
          <t>7월</t>
        </is>
      </c>
      <c r="K30" s="6" t="inlineStr">
        <is>
          <t>8월</t>
        </is>
      </c>
      <c r="L30" s="6" t="inlineStr">
        <is>
          <t>9월</t>
        </is>
      </c>
      <c r="M30" s="6" t="inlineStr">
        <is>
          <t>10월</t>
        </is>
      </c>
      <c r="N30" s="6" t="inlineStr">
        <is>
          <t>11월</t>
        </is>
      </c>
      <c r="O30" s="6" t="inlineStr">
        <is>
          <t>12월</t>
        </is>
      </c>
      <c r="P30" s="7" t="inlineStr">
        <is>
          <t>최종금액</t>
        </is>
      </c>
    </row>
    <row r="31">
      <c r="B31" s="8" t="inlineStr">
        <is>
          <t>총 수입</t>
        </is>
      </c>
      <c r="D31" s="13">
        <f>'1월'!$F$3</f>
        <v/>
      </c>
      <c r="E31" s="13">
        <f>'2월'!$F$3</f>
        <v/>
      </c>
      <c r="F31" s="13">
        <f>'3월'!$F$3</f>
        <v/>
      </c>
      <c r="G31" s="13">
        <f>'4월'!$F$3</f>
        <v/>
      </c>
      <c r="H31" s="13">
        <f>'5월'!$F$3</f>
        <v/>
      </c>
      <c r="I31" s="13">
        <f>'6월'!$F$3</f>
        <v/>
      </c>
      <c r="J31" s="13">
        <f>'7월'!$F$3</f>
        <v/>
      </c>
      <c r="K31" s="13">
        <f>'8월'!$F$3</f>
        <v/>
      </c>
      <c r="L31" s="13">
        <f>'9월'!$F$3</f>
        <v/>
      </c>
      <c r="M31" s="13">
        <f>'10월'!$F$3</f>
        <v/>
      </c>
      <c r="N31" s="13">
        <f>'11월'!$F$3</f>
        <v/>
      </c>
      <c r="O31" s="13">
        <f>'12월'!$F$3</f>
        <v/>
      </c>
      <c r="P31" s="13">
        <f>SUM(D31:O31)</f>
        <v/>
      </c>
    </row>
    <row r="32" ht="22.5" customHeight="1" s="102">
      <c r="A32" s="68" t="n"/>
      <c r="B32" s="8" t="inlineStr">
        <is>
          <t>총 저축</t>
        </is>
      </c>
      <c r="D32" s="13">
        <f>'1월'!$H$3</f>
        <v/>
      </c>
      <c r="E32" s="13">
        <f>'2월'!$H$3</f>
        <v/>
      </c>
      <c r="F32" s="13">
        <f>'3월'!$H$3</f>
        <v/>
      </c>
      <c r="G32" s="13">
        <f>'4월'!$H$3</f>
        <v/>
      </c>
      <c r="H32" s="13">
        <f>'5월'!$H$3</f>
        <v/>
      </c>
      <c r="I32" s="13">
        <f>'6월'!$H$3</f>
        <v/>
      </c>
      <c r="J32" s="13">
        <f>'7월'!$H$3</f>
        <v/>
      </c>
      <c r="K32" s="13">
        <f>'8월'!$H$3</f>
        <v/>
      </c>
      <c r="L32" s="13">
        <f>'9월'!$H$3</f>
        <v/>
      </c>
      <c r="M32" s="13">
        <f>'10월'!$H$3</f>
        <v/>
      </c>
      <c r="N32" s="13">
        <f>'11월'!$H$3</f>
        <v/>
      </c>
      <c r="O32" s="13">
        <f>'12월'!$H$3</f>
        <v/>
      </c>
      <c r="P32" s="13">
        <f>SUM(D32:O32)</f>
        <v/>
      </c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</row>
    <row r="33" ht="22.5" customHeight="1" s="102">
      <c r="A33" s="68" t="n"/>
      <c r="B33" s="8" t="inlineStr">
        <is>
          <t>총 지출</t>
        </is>
      </c>
      <c r="D33" s="11">
        <f>'1월'!$C$7</f>
        <v/>
      </c>
      <c r="E33" s="11">
        <f>'2월'!$C$7</f>
        <v/>
      </c>
      <c r="F33" s="11">
        <f>'3월'!$C$7</f>
        <v/>
      </c>
      <c r="G33" s="11">
        <f>'4월'!$C$7</f>
        <v/>
      </c>
      <c r="H33" s="11">
        <f>'5월'!$C$7</f>
        <v/>
      </c>
      <c r="I33" s="11">
        <f>'6월'!$C$7</f>
        <v/>
      </c>
      <c r="J33" s="11">
        <f>'7월'!$C$7</f>
        <v/>
      </c>
      <c r="K33" s="11">
        <f>'8월'!$C$7</f>
        <v/>
      </c>
      <c r="L33" s="11">
        <f>'9월'!$C$7</f>
        <v/>
      </c>
      <c r="M33" s="11">
        <f>'10월'!$C$7</f>
        <v/>
      </c>
      <c r="N33" s="11">
        <f>'11월'!$C$7</f>
        <v/>
      </c>
      <c r="O33" s="11">
        <f>'12월'!$C$7</f>
        <v/>
      </c>
      <c r="P33" s="11">
        <f>SUM(D33:O33)</f>
        <v/>
      </c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</row>
    <row r="34" ht="22.5" customHeight="1" s="102">
      <c r="A34" s="68" t="n"/>
      <c r="B34" s="8" t="inlineStr">
        <is>
          <t>총 잉여금액</t>
        </is>
      </c>
      <c r="D34" s="13">
        <f>'1월'!$L$3</f>
        <v/>
      </c>
      <c r="E34" s="13">
        <f>'2월'!$L$3</f>
        <v/>
      </c>
      <c r="F34" s="13">
        <f>'3월'!$L$3</f>
        <v/>
      </c>
      <c r="G34" s="13">
        <f>'4월'!$L$3</f>
        <v/>
      </c>
      <c r="H34" s="13">
        <f>'5월'!$L$3</f>
        <v/>
      </c>
      <c r="I34" s="13">
        <f>'6월'!$L$3</f>
        <v/>
      </c>
      <c r="J34" s="13">
        <f>'7월'!$L$3</f>
        <v/>
      </c>
      <c r="K34" s="13">
        <f>'8월'!$L$3</f>
        <v/>
      </c>
      <c r="L34" s="13">
        <f>'9월'!$L$3</f>
        <v/>
      </c>
      <c r="M34" s="13">
        <f>'10월'!$L$3</f>
        <v/>
      </c>
      <c r="N34" s="13">
        <f>'11월'!$L$3</f>
        <v/>
      </c>
      <c r="O34" s="13">
        <f>'12월'!$L$3</f>
        <v/>
      </c>
      <c r="P34" s="13">
        <f>SUM(D34:O34)</f>
        <v/>
      </c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</row>
    <row r="35" ht="22.5" customHeight="1" s="102">
      <c r="A35" s="68" t="n"/>
      <c r="B35" s="12">
        <f>'(필수)설정 시트'!E41</f>
        <v/>
      </c>
      <c r="D35" s="13">
        <f>'1월'!$Q$16</f>
        <v/>
      </c>
      <c r="E35" s="13">
        <f>'2월'!$Q$16</f>
        <v/>
      </c>
      <c r="F35" s="13">
        <f>'3월'!$Q$16</f>
        <v/>
      </c>
      <c r="G35" s="13">
        <f>'4월'!$Q$16</f>
        <v/>
      </c>
      <c r="H35" s="13">
        <f>'5월'!$Q$16</f>
        <v/>
      </c>
      <c r="I35" s="13">
        <f>'6월'!$Q$16</f>
        <v/>
      </c>
      <c r="J35" s="13">
        <f>'7월'!$Q$16</f>
        <v/>
      </c>
      <c r="K35" s="13">
        <f>'8월'!$Q$16</f>
        <v/>
      </c>
      <c r="L35" s="13">
        <f>'9월'!$Q$16</f>
        <v/>
      </c>
      <c r="M35" s="13">
        <f>'10월'!$Q$16</f>
        <v/>
      </c>
      <c r="N35" s="13">
        <f>'11월'!$Q$16</f>
        <v/>
      </c>
      <c r="O35" s="13">
        <f>'12월'!$Q$16</f>
        <v/>
      </c>
      <c r="P35" s="13">
        <f>SUM(D35:O35)</f>
        <v/>
      </c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</row>
    <row r="36" ht="22.5" customHeight="1" s="102">
      <c r="A36" s="68" t="n"/>
      <c r="B36" s="12">
        <f>'(필수)설정 시트'!E42</f>
        <v/>
      </c>
      <c r="D36" s="13">
        <f>'1월'!$Q$23</f>
        <v/>
      </c>
      <c r="E36" s="13">
        <f>'2월'!$Q$23</f>
        <v/>
      </c>
      <c r="F36" s="13">
        <f>'3월'!$Q$23</f>
        <v/>
      </c>
      <c r="G36" s="13">
        <f>'4월'!$Q$23</f>
        <v/>
      </c>
      <c r="H36" s="13">
        <f>'5월'!$Q$23</f>
        <v/>
      </c>
      <c r="I36" s="13">
        <f>'6월'!$Q$23</f>
        <v/>
      </c>
      <c r="J36" s="13">
        <f>'7월'!$Q$23</f>
        <v/>
      </c>
      <c r="K36" s="13">
        <f>'8월'!$Q$23</f>
        <v/>
      </c>
      <c r="L36" s="13">
        <f>'9월'!$Q$23</f>
        <v/>
      </c>
      <c r="M36" s="13">
        <f>'10월'!$Q$23</f>
        <v/>
      </c>
      <c r="N36" s="13">
        <f>'11월'!$Q$23</f>
        <v/>
      </c>
      <c r="O36" s="13">
        <f>'12월'!$Q$23</f>
        <v/>
      </c>
      <c r="P36" s="13">
        <f>SUM(D36:O36)</f>
        <v/>
      </c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</row>
    <row r="37" ht="22.5" customHeight="1" s="102">
      <c r="A37" s="68" t="n"/>
      <c r="B37" s="12">
        <f>'(필수)설정 시트'!E43</f>
        <v/>
      </c>
      <c r="D37" s="13">
        <f>'1월'!$Q$31</f>
        <v/>
      </c>
      <c r="E37" s="13">
        <f>'2월'!$Q$31</f>
        <v/>
      </c>
      <c r="F37" s="13">
        <f>'3월'!$Q$31</f>
        <v/>
      </c>
      <c r="G37" s="13">
        <f>'4월'!$Q$31</f>
        <v/>
      </c>
      <c r="H37" s="13">
        <f>'5월'!$Q$31</f>
        <v/>
      </c>
      <c r="I37" s="13">
        <f>'6월'!$Q$31</f>
        <v/>
      </c>
      <c r="J37" s="13">
        <f>'7월'!$Q$31</f>
        <v/>
      </c>
      <c r="K37" s="13">
        <f>'8월'!$Q$31</f>
        <v/>
      </c>
      <c r="L37" s="13">
        <f>'9월'!$Q$31</f>
        <v/>
      </c>
      <c r="M37" s="13">
        <f>'10월'!$Q$31</f>
        <v/>
      </c>
      <c r="N37" s="13">
        <f>'11월'!$Q$31</f>
        <v/>
      </c>
      <c r="O37" s="13">
        <f>'12월'!$Q$31</f>
        <v/>
      </c>
      <c r="P37" s="13">
        <f>SUM(D37:O37)</f>
        <v/>
      </c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22.5" customHeight="1" s="102">
      <c r="A38" s="68" t="n"/>
      <c r="B38" s="12">
        <f>'(필수)설정 시트'!E44</f>
        <v/>
      </c>
      <c r="D38" s="13">
        <f>'1월'!$Q$38</f>
        <v/>
      </c>
      <c r="E38" s="13">
        <f>'2월'!$Q$38</f>
        <v/>
      </c>
      <c r="F38" s="13">
        <f>'3월'!$Q$38</f>
        <v/>
      </c>
      <c r="G38" s="13">
        <f>'4월'!$Q$38</f>
        <v/>
      </c>
      <c r="H38" s="13">
        <f>'5월'!$Q$38</f>
        <v/>
      </c>
      <c r="I38" s="13">
        <f>'6월'!$Q$38</f>
        <v/>
      </c>
      <c r="J38" s="13">
        <f>'7월'!$Q$38</f>
        <v/>
      </c>
      <c r="K38" s="13">
        <f>'8월'!$Q$38</f>
        <v/>
      </c>
      <c r="L38" s="13">
        <f>'9월'!$Q$38</f>
        <v/>
      </c>
      <c r="M38" s="13">
        <f>'10월'!$Q$38</f>
        <v/>
      </c>
      <c r="N38" s="13">
        <f>'11월'!$Q$38</f>
        <v/>
      </c>
      <c r="O38" s="13">
        <f>'12월'!$Q$38</f>
        <v/>
      </c>
      <c r="P38" s="13">
        <f>SUM(D38:O38)</f>
        <v/>
      </c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22.5" customHeight="1" s="102">
      <c r="A39" s="68" t="n"/>
      <c r="B39" s="12">
        <f>'(필수)설정 시트'!E45</f>
        <v/>
      </c>
      <c r="D39" s="13">
        <f>'1월'!$Q$45</f>
        <v/>
      </c>
      <c r="E39" s="13">
        <f>'2월'!$Q$45</f>
        <v/>
      </c>
      <c r="F39" s="13">
        <f>'3월'!$Q$45</f>
        <v/>
      </c>
      <c r="G39" s="13">
        <f>'4월'!$Q$45</f>
        <v/>
      </c>
      <c r="H39" s="13">
        <f>'5월'!$Q$45</f>
        <v/>
      </c>
      <c r="I39" s="13">
        <f>'6월'!$Q$45</f>
        <v/>
      </c>
      <c r="J39" s="13">
        <f>'7월'!$Q$45</f>
        <v/>
      </c>
      <c r="K39" s="13">
        <f>'8월'!$Q$45</f>
        <v/>
      </c>
      <c r="L39" s="13">
        <f>'9월'!$Q$45</f>
        <v/>
      </c>
      <c r="M39" s="13">
        <f>'10월'!$Q$45</f>
        <v/>
      </c>
      <c r="N39" s="13">
        <f>'11월'!$Q$45</f>
        <v/>
      </c>
      <c r="O39" s="13">
        <f>'12월'!$Q$45</f>
        <v/>
      </c>
      <c r="P39" s="13">
        <f>SUM(D39:O39)</f>
        <v/>
      </c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22.5" customHeight="1" s="102">
      <c r="A40" s="68" t="n"/>
      <c r="B40" s="12">
        <f>'(필수)설정 시트'!E46</f>
        <v/>
      </c>
      <c r="D40" s="13">
        <f>'1월'!$U$12</f>
        <v/>
      </c>
      <c r="E40" s="13">
        <f>'2월'!$U$12</f>
        <v/>
      </c>
      <c r="F40" s="13">
        <f>'3월'!$U$12</f>
        <v/>
      </c>
      <c r="G40" s="13">
        <f>'4월'!$U$12</f>
        <v/>
      </c>
      <c r="H40" s="13">
        <f>'5월'!$U$12</f>
        <v/>
      </c>
      <c r="I40" s="13">
        <f>'6월'!$U$12</f>
        <v/>
      </c>
      <c r="J40" s="13">
        <f>'7월'!$U$12</f>
        <v/>
      </c>
      <c r="K40" s="13">
        <f>'8월'!$U$12</f>
        <v/>
      </c>
      <c r="L40" s="13">
        <f>'9월'!$U$12</f>
        <v/>
      </c>
      <c r="M40" s="13">
        <f>'10월'!$U$12</f>
        <v/>
      </c>
      <c r="N40" s="13">
        <f>'11월'!$U$12</f>
        <v/>
      </c>
      <c r="O40" s="13">
        <f>'12월'!$U$12</f>
        <v/>
      </c>
      <c r="P40" s="13">
        <f>SUM(D40:O40)</f>
        <v/>
      </c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22.5" customHeight="1" s="102">
      <c r="A41" s="68" t="n"/>
      <c r="B41" s="12">
        <f>'(필수)설정 시트'!E47</f>
        <v/>
      </c>
      <c r="D41" s="13">
        <f>'1월'!$U$20</f>
        <v/>
      </c>
      <c r="E41" s="13">
        <f>'2월'!$U$20</f>
        <v/>
      </c>
      <c r="F41" s="13">
        <f>'3월'!$U$20</f>
        <v/>
      </c>
      <c r="G41" s="13">
        <f>'4월'!$U$20</f>
        <v/>
      </c>
      <c r="H41" s="13">
        <f>'5월'!$U$20</f>
        <v/>
      </c>
      <c r="I41" s="13">
        <f>'6월'!$U$20</f>
        <v/>
      </c>
      <c r="J41" s="13">
        <f>'7월'!$U$20</f>
        <v/>
      </c>
      <c r="K41" s="13">
        <f>'8월'!$U$20</f>
        <v/>
      </c>
      <c r="L41" s="13">
        <f>'9월'!$U$20</f>
        <v/>
      </c>
      <c r="M41" s="13">
        <f>'10월'!$U$20</f>
        <v/>
      </c>
      <c r="N41" s="13">
        <f>'11월'!$U$20</f>
        <v/>
      </c>
      <c r="O41" s="13">
        <f>'12월'!$U$20</f>
        <v/>
      </c>
      <c r="P41" s="13">
        <f>SUM(D41:O41)</f>
        <v/>
      </c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22.5" customHeight="1" s="102">
      <c r="A42" s="68" t="n"/>
      <c r="B42" s="12">
        <f>'(필수)설정 시트'!E48</f>
        <v/>
      </c>
      <c r="D42" s="13">
        <f>'1월'!$U$27</f>
        <v/>
      </c>
      <c r="E42" s="13">
        <f>'2월'!$U$27</f>
        <v/>
      </c>
      <c r="F42" s="13">
        <f>'3월'!$U$27</f>
        <v/>
      </c>
      <c r="G42" s="13">
        <f>'4월'!$U$27</f>
        <v/>
      </c>
      <c r="H42" s="13">
        <f>'5월'!$U$27</f>
        <v/>
      </c>
      <c r="I42" s="13">
        <f>'6월'!$U$27</f>
        <v/>
      </c>
      <c r="J42" s="13">
        <f>'7월'!$U$27</f>
        <v/>
      </c>
      <c r="K42" s="13">
        <f>'8월'!$U$27</f>
        <v/>
      </c>
      <c r="L42" s="13">
        <f>'9월'!$U$27</f>
        <v/>
      </c>
      <c r="M42" s="13">
        <f>'10월'!$U$27</f>
        <v/>
      </c>
      <c r="N42" s="13">
        <f>'11월'!$U$27</f>
        <v/>
      </c>
      <c r="O42" s="13">
        <f>'12월'!$U$27</f>
        <v/>
      </c>
      <c r="P42" s="13">
        <f>SUM(D42:O42)</f>
        <v/>
      </c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22.5" customHeight="1" s="102">
      <c r="A43" s="68" t="n"/>
      <c r="B43" s="12">
        <f>'(필수)설정 시트'!E49</f>
        <v/>
      </c>
      <c r="D43" s="13">
        <f>'1월'!$U$34</f>
        <v/>
      </c>
      <c r="E43" s="13">
        <f>'2월'!$U$34</f>
        <v/>
      </c>
      <c r="F43" s="13">
        <f>'3월'!$U$34</f>
        <v/>
      </c>
      <c r="G43" s="13">
        <f>'4월'!$U$34</f>
        <v/>
      </c>
      <c r="H43" s="13">
        <f>'5월'!$U$34</f>
        <v/>
      </c>
      <c r="I43" s="13">
        <f>'6월'!$U$34</f>
        <v/>
      </c>
      <c r="J43" s="13">
        <f>'7월'!$U$34</f>
        <v/>
      </c>
      <c r="K43" s="13">
        <f>'8월'!$U$34</f>
        <v/>
      </c>
      <c r="L43" s="13">
        <f>'9월'!$U$34</f>
        <v/>
      </c>
      <c r="M43" s="13">
        <f>'10월'!$U$34</f>
        <v/>
      </c>
      <c r="N43" s="13">
        <f>'11월'!$U$34</f>
        <v/>
      </c>
      <c r="O43" s="13">
        <f>'12월'!$U$34</f>
        <v/>
      </c>
      <c r="P43" s="13">
        <f>SUM(D43:O43)</f>
        <v/>
      </c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22.5" customHeight="1" s="102">
      <c r="A44" s="68" t="n"/>
      <c r="B44" s="12">
        <f>'(필수)설정 시트'!E50</f>
        <v/>
      </c>
      <c r="D44" s="13">
        <f>'1월'!$U$41</f>
        <v/>
      </c>
      <c r="E44" s="13">
        <f>'2월'!$U$41</f>
        <v/>
      </c>
      <c r="F44" s="13">
        <f>'3월'!$U$41</f>
        <v/>
      </c>
      <c r="G44" s="13">
        <f>'4월'!$U$41</f>
        <v/>
      </c>
      <c r="H44" s="13">
        <f>'5월'!$U$41</f>
        <v/>
      </c>
      <c r="I44" s="13">
        <f>'6월'!$U$41</f>
        <v/>
      </c>
      <c r="J44" s="13">
        <f>'7월'!$U$41</f>
        <v/>
      </c>
      <c r="K44" s="13">
        <f>'8월'!$U$41</f>
        <v/>
      </c>
      <c r="L44" s="13">
        <f>'9월'!$U$41</f>
        <v/>
      </c>
      <c r="M44" s="13">
        <f>'10월'!$U$41</f>
        <v/>
      </c>
      <c r="N44" s="13">
        <f>'11월'!$U$41</f>
        <v/>
      </c>
      <c r="O44" s="13">
        <f>'12월'!$U$41</f>
        <v/>
      </c>
      <c r="P44" s="13">
        <f>SUM(D44:O44)</f>
        <v/>
      </c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22.5" customHeight="1" s="102">
      <c r="A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</sheetData>
  <mergeCells count="22">
    <mergeCell ref="B31:C31"/>
    <mergeCell ref="B43:C43"/>
    <mergeCell ref="B39:C39"/>
    <mergeCell ref="G1:H2"/>
    <mergeCell ref="B42:C42"/>
    <mergeCell ref="I1:J2"/>
    <mergeCell ref="G3:H3"/>
    <mergeCell ref="B1:C3"/>
    <mergeCell ref="I3:J3"/>
    <mergeCell ref="B38:C38"/>
    <mergeCell ref="B44:C44"/>
    <mergeCell ref="B37:C37"/>
    <mergeCell ref="B34:C34"/>
    <mergeCell ref="B40:C40"/>
    <mergeCell ref="B30:C30"/>
    <mergeCell ref="B33:C33"/>
    <mergeCell ref="E1:F2"/>
    <mergeCell ref="B36:C36"/>
    <mergeCell ref="B32:C32"/>
    <mergeCell ref="B41:C41"/>
    <mergeCell ref="B35:C35"/>
    <mergeCell ref="E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Y20:Y21"/>
    <mergeCell ref="O45:P45"/>
    <mergeCell ref="AA20:AA21"/>
    <mergeCell ref="B34:D34"/>
    <mergeCell ref="O6:O15"/>
    <mergeCell ref="Y10:Y11"/>
    <mergeCell ref="F3:G3"/>
    <mergeCell ref="L3:M3"/>
    <mergeCell ref="Z13:Z15"/>
    <mergeCell ref="D1:D3"/>
    <mergeCell ref="AC20:AC21"/>
    <mergeCell ref="W7:W8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B20:D20"/>
    <mergeCell ref="Z20:Z21"/>
    <mergeCell ref="X10:X11"/>
    <mergeCell ref="W13:W15"/>
    <mergeCell ref="F2:G2"/>
    <mergeCell ref="S28:S33"/>
    <mergeCell ref="O16:P16"/>
    <mergeCell ref="H2:I2"/>
    <mergeCell ref="Z10:Z11"/>
    <mergeCell ref="AA13:AA15"/>
    <mergeCell ref="AC13:AC15"/>
    <mergeCell ref="S34:T34"/>
    <mergeCell ref="O32:O37"/>
    <mergeCell ref="W17:W18"/>
    <mergeCell ref="S6:S11"/>
    <mergeCell ref="H3:I3"/>
    <mergeCell ref="AB10:AB11"/>
    <mergeCell ref="W10:W11"/>
    <mergeCell ref="J3:K3"/>
    <mergeCell ref="X13:X15"/>
    <mergeCell ref="B2:C3"/>
    <mergeCell ref="AA17:AA18"/>
    <mergeCell ref="O17:O22"/>
    <mergeCell ref="J2:K2"/>
    <mergeCell ref="AC17:AC18"/>
    <mergeCell ref="S20:T20"/>
    <mergeCell ref="O23:P23"/>
    <mergeCell ref="O38:P38"/>
    <mergeCell ref="D38:E38"/>
    <mergeCell ref="O24:O30"/>
    <mergeCell ref="X17:X18"/>
    <mergeCell ref="AC7:AC8"/>
    <mergeCell ref="S41:T41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S35:S40"/>
    <mergeCell ref="L2:M2"/>
    <mergeCell ref="Y13:Y15"/>
    <mergeCell ref="S13:S19"/>
    <mergeCell ref="B13:B19"/>
    <mergeCell ref="B21:B33"/>
    <mergeCell ref="S12:T12"/>
    <mergeCell ref="O39:O44"/>
    <mergeCell ref="X7:X8"/>
    <mergeCell ref="AB13:AB15"/>
    <mergeCell ref="Z7:Z8"/>
    <mergeCell ref="H4:I4"/>
    <mergeCell ref="S21:S26"/>
    <mergeCell ref="W20:W21"/>
    <mergeCell ref="S27:T27"/>
    <mergeCell ref="Y20:Y21"/>
    <mergeCell ref="O45:P45"/>
    <mergeCell ref="AA20:AA21"/>
    <mergeCell ref="B34:D34"/>
    <mergeCell ref="O6:O15"/>
    <mergeCell ref="F3:G3"/>
    <mergeCell ref="W7:W8"/>
    <mergeCell ref="L3:M3"/>
    <mergeCell ref="Z13:Z15"/>
    <mergeCell ref="D1:D3"/>
    <mergeCell ref="AC20:AC21"/>
    <mergeCell ref="Y10:Y11"/>
    <mergeCell ref="Y17:Y18"/>
    <mergeCell ref="Z17:Z18"/>
    <mergeCell ref="Y7:Y8"/>
    <mergeCell ref="AB17:AB18"/>
    <mergeCell ref="AC10:AC11"/>
    <mergeCell ref="AA7:AA8"/>
    <mergeCell ref="O31:P31"/>
    <mergeCell ref="X20:X21"/>
    <mergeCell ref="AB7:AB8"/>
    <mergeCell ref="Z20:Z21"/>
    <mergeCell ref="O32:O37"/>
    <mergeCell ref="W13:W15"/>
    <mergeCell ref="B20:D20"/>
    <mergeCell ref="F2:G2"/>
    <mergeCell ref="S28:S33"/>
    <mergeCell ref="O16:P16"/>
    <mergeCell ref="H2:I2"/>
    <mergeCell ref="S34:T34"/>
    <mergeCell ref="AA13:AA15"/>
    <mergeCell ref="AC13:AC15"/>
    <mergeCell ref="X10:X11"/>
    <mergeCell ref="Z10:Z11"/>
    <mergeCell ref="W17:W18"/>
    <mergeCell ref="S6:S11"/>
    <mergeCell ref="H3:I3"/>
    <mergeCell ref="AB10:AB11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88" customWidth="1" style="102" min="1" max="1"/>
    <col width="15.5" customWidth="1" style="102" min="2" max="2"/>
    <col width="13.38" customWidth="1" style="102" min="3" max="3"/>
    <col width="14.5" customWidth="1" style="102" min="7" max="7"/>
    <col width="14.25" customWidth="1" style="102" min="8" max="8"/>
    <col width="15.63" customWidth="1" style="102" min="9" max="9"/>
    <col width="18.75" customWidth="1" style="102" min="12" max="12"/>
    <col width="12.38" customWidth="1" style="102" min="13" max="13"/>
    <col width="3.88" customWidth="1" style="102" min="14" max="14"/>
    <col width="13.25" customWidth="1" style="102" min="16" max="16"/>
    <col width="3.88" customWidth="1" style="102" min="18" max="18"/>
    <col width="3.88" customWidth="1" style="102" min="22" max="22"/>
  </cols>
  <sheetData>
    <row r="1">
      <c r="A1" s="16" t="n"/>
      <c r="B1" s="16" t="n"/>
      <c r="C1" s="16" t="n"/>
      <c r="D1" s="15" t="n">
        <v>1</v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>
      <c r="A2" s="16" t="n"/>
      <c r="B2" s="17">
        <f>'(필수)설정 시트'!B2</f>
        <v/>
      </c>
      <c r="E2" s="16" t="n"/>
      <c r="F2" s="19" t="inlineStr">
        <is>
          <t>총 수입</t>
        </is>
      </c>
      <c r="H2" s="19" t="inlineStr">
        <is>
          <t>총 저축</t>
        </is>
      </c>
      <c r="J2" s="19" t="inlineStr">
        <is>
          <t>총 지출 비용</t>
        </is>
      </c>
      <c r="L2" s="19" t="inlineStr">
        <is>
          <t>남은 잔액(부수입 제외)</t>
        </is>
      </c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>
      <c r="A3" s="16" t="n"/>
      <c r="E3" s="16" t="n"/>
      <c r="F3" s="20">
        <f>C6</f>
        <v/>
      </c>
      <c r="H3" s="20">
        <f>C8</f>
        <v/>
      </c>
      <c r="J3" s="20">
        <f>C7</f>
        <v/>
      </c>
      <c r="L3" s="20">
        <f>(C6-E18)-C7-C8</f>
        <v/>
      </c>
      <c r="N3" s="16" t="n"/>
      <c r="O3" s="16" t="n"/>
      <c r="P3" s="21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22" t="inlineStr">
        <is>
          <t>항목 변경 시 데이터 확인 규칙 변경 필요</t>
        </is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>
      <c r="A5" s="16" t="n"/>
      <c r="B5" s="24" t="inlineStr">
        <is>
          <t>분류</t>
        </is>
      </c>
      <c r="C5" s="24" t="inlineStr">
        <is>
          <t>금액</t>
        </is>
      </c>
      <c r="D5" s="24" t="inlineStr">
        <is>
          <t>결제수단</t>
        </is>
      </c>
      <c r="E5" s="24" t="inlineStr">
        <is>
          <t>금액</t>
        </is>
      </c>
      <c r="F5" s="16" t="n"/>
      <c r="G5" s="24" t="inlineStr">
        <is>
          <t>날짜[숫자만 입력]</t>
        </is>
      </c>
      <c r="H5" s="24" t="inlineStr">
        <is>
          <t>대분류</t>
        </is>
      </c>
      <c r="I5" s="24" t="inlineStr">
        <is>
          <t>소분류</t>
        </is>
      </c>
      <c r="J5" s="24" t="inlineStr">
        <is>
          <t>금액</t>
        </is>
      </c>
      <c r="K5" s="24" t="inlineStr">
        <is>
          <t>결제수단</t>
        </is>
      </c>
      <c r="L5" s="24" t="inlineStr">
        <is>
          <t>세부사항</t>
        </is>
      </c>
      <c r="M5" s="24" t="inlineStr">
        <is>
          <t>남은 잔액</t>
        </is>
      </c>
      <c r="N5" s="25" t="n"/>
      <c r="O5" s="26" t="inlineStr">
        <is>
          <t>대분류</t>
        </is>
      </c>
      <c r="P5" s="26" t="inlineStr">
        <is>
          <t>소분류</t>
        </is>
      </c>
      <c r="Q5" s="27" t="inlineStr">
        <is>
          <t>지출금액</t>
        </is>
      </c>
      <c r="R5" s="16" t="n"/>
      <c r="S5" s="26" t="inlineStr">
        <is>
          <t>대분류</t>
        </is>
      </c>
      <c r="T5" s="26" t="inlineStr">
        <is>
          <t>소분류</t>
        </is>
      </c>
      <c r="U5" s="27" t="inlineStr">
        <is>
          <t>지출금액</t>
        </is>
      </c>
      <c r="V5" s="16" t="n"/>
      <c r="W5" s="16" t="inlineStr">
        <is>
          <t>일</t>
        </is>
      </c>
      <c r="X5" s="16" t="inlineStr">
        <is>
          <t>월</t>
        </is>
      </c>
      <c r="Y5" s="16" t="inlineStr">
        <is>
          <t>화</t>
        </is>
      </c>
      <c r="Z5" s="16" t="inlineStr">
        <is>
          <t>수</t>
        </is>
      </c>
      <c r="AA5" s="16" t="inlineStr">
        <is>
          <t>목</t>
        </is>
      </c>
      <c r="AB5" s="16" t="inlineStr">
        <is>
          <t>금</t>
        </is>
      </c>
      <c r="AC5" s="16" t="inlineStr">
        <is>
          <t>토</t>
        </is>
      </c>
      <c r="AD5" s="16" t="n"/>
    </row>
    <row r="6">
      <c r="A6" s="16" t="n"/>
      <c r="B6" s="28" t="inlineStr">
        <is>
          <t>총 수입</t>
        </is>
      </c>
      <c r="C6" s="31">
        <f>E20</f>
        <v/>
      </c>
      <c r="D6" s="16" t="n"/>
      <c r="E6" s="16" t="n"/>
      <c r="F6" s="16" t="n"/>
      <c r="G6" s="30" t="n"/>
      <c r="H6" s="16" t="n"/>
      <c r="I6" s="16" t="n"/>
      <c r="J6" s="31" t="n"/>
      <c r="K6" s="31" t="n"/>
      <c r="L6" s="16" t="n"/>
      <c r="M6" s="31">
        <f>$E$20-J6</f>
        <v/>
      </c>
      <c r="N6" s="32" t="n"/>
      <c r="O6" s="33">
        <f>'(필수)설정 시트'!E41</f>
        <v/>
      </c>
      <c r="P6" s="34" t="inlineStr">
        <is>
          <t>📱통신비</t>
        </is>
      </c>
      <c r="Q6" s="35">
        <f>SUMIF($I$6:$I$56,P6,$J$6:$J$56)</f>
        <v/>
      </c>
      <c r="R6" s="35" t="n"/>
      <c r="S6" s="33">
        <f>'(필수)설정 시트'!E46</f>
        <v/>
      </c>
      <c r="T6" s="16" t="inlineStr">
        <is>
          <t>👕의류</t>
        </is>
      </c>
      <c r="U6" s="35">
        <f>SUMIF($I$6:$I$56,T6,$J$6:$J$56)</f>
        <v/>
      </c>
      <c r="V6" s="16" t="n"/>
      <c r="W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6" s="16" t="n"/>
    </row>
    <row r="7">
      <c r="A7" s="16" t="n"/>
      <c r="B7" s="28" t="inlineStr">
        <is>
          <t>총 지출</t>
        </is>
      </c>
      <c r="C7" s="31">
        <f>SUM($J$6:$J$56) - E34</f>
        <v/>
      </c>
      <c r="D7" s="16" t="n"/>
      <c r="E7" s="16" t="n"/>
      <c r="F7" s="16" t="n"/>
      <c r="G7" s="30" t="n"/>
      <c r="H7" s="16" t="n"/>
      <c r="I7" s="16" t="n"/>
      <c r="J7" s="31" t="n"/>
      <c r="K7" s="31" t="n"/>
      <c r="L7" s="16" t="n"/>
      <c r="M7" s="31">
        <f>M6-J7</f>
        <v/>
      </c>
      <c r="N7" s="32" t="n"/>
      <c r="P7" s="34" t="inlineStr">
        <is>
          <t>🚍교통비</t>
        </is>
      </c>
      <c r="Q7" s="35">
        <f>SUMIF($I$6:$I$56,P7,$J$6:$J$56)</f>
        <v/>
      </c>
      <c r="R7" s="35" t="n"/>
      <c r="T7" s="16" t="inlineStr">
        <is>
          <t>💇미용</t>
        </is>
      </c>
      <c r="U7" s="35">
        <f>SUMIF($I$6:$I$56,T7,$J$6:$J$56)</f>
        <v/>
      </c>
      <c r="V7" s="16" t="n"/>
      <c r="W7" s="103">
        <f>IFERROR(SUMIF($G$6:$G$56, W6, $J$6:$J$56), "")</f>
        <v/>
      </c>
      <c r="X7" s="103">
        <f>IFERROR(SUMIF($G$6:$G$56, X6, $J$6:$J$56), "")</f>
        <v/>
      </c>
      <c r="Y7" s="103">
        <f>IFERROR(SUMIF($G$6:$G$56, Y6, $J$6:$J$56), "")</f>
        <v/>
      </c>
      <c r="Z7" s="103">
        <f>IFERROR(SUMIF($G$6:$G$56, Z6, $J$6:$J$56), "")</f>
        <v/>
      </c>
      <c r="AA7" s="103">
        <f>IFERROR(SUMIF($G$6:$G$56, AA6, $J$6:$J$56), "")</f>
        <v/>
      </c>
      <c r="AB7" s="103">
        <f>IFERROR(SUMIF($G$6:$G$56, AB6, $J$6:$J$56), "")</f>
        <v/>
      </c>
      <c r="AC7" s="103">
        <f>IFERROR(SUMIF($G$6:$G$56, AC6, $J$6:$J$56), "")</f>
        <v/>
      </c>
      <c r="AD7" s="16" t="n"/>
    </row>
    <row r="8">
      <c r="A8" s="16" t="n"/>
      <c r="B8" s="28" t="inlineStr">
        <is>
          <t>총 저축</t>
        </is>
      </c>
      <c r="C8" s="31">
        <f>E34</f>
        <v/>
      </c>
      <c r="D8" s="16" t="n"/>
      <c r="E8" s="16" t="n"/>
      <c r="F8" s="16" t="n"/>
      <c r="G8" s="30" t="n"/>
      <c r="H8" s="16" t="n"/>
      <c r="I8" s="16" t="n"/>
      <c r="J8" s="31" t="n"/>
      <c r="K8" s="31" t="n"/>
      <c r="L8" s="16" t="n"/>
      <c r="M8" s="31">
        <f>M7-J8</f>
        <v/>
      </c>
      <c r="N8" s="32" t="n"/>
      <c r="P8" s="34" t="inlineStr">
        <is>
          <t>📺스트리밍 서비스</t>
        </is>
      </c>
      <c r="Q8" s="35">
        <f>SUMIF($I$6:$I$56,P8,$J$6:$J$56)</f>
        <v/>
      </c>
      <c r="R8" s="35" t="n"/>
      <c r="T8" s="16" t="inlineStr">
        <is>
          <t>💬잡화</t>
        </is>
      </c>
      <c r="U8" s="35">
        <f>SUMIF($I$6:$I$56,T8,$J$6:$J$56)</f>
        <v/>
      </c>
      <c r="V8" s="16" t="n"/>
      <c r="W8" s="104" t="n"/>
      <c r="X8" s="104" t="n"/>
      <c r="Y8" s="104" t="n"/>
      <c r="Z8" s="104" t="n"/>
      <c r="AA8" s="104" t="n"/>
      <c r="AB8" s="104" t="n"/>
      <c r="AC8" s="104" t="n"/>
      <c r="AD8" s="16" t="n"/>
    </row>
    <row r="9">
      <c r="A9" s="16" t="n"/>
      <c r="B9" s="28" t="inlineStr">
        <is>
          <t>총 저축률</t>
        </is>
      </c>
      <c r="C9" s="39">
        <f>C8/C6</f>
        <v/>
      </c>
      <c r="D9" s="16" t="n"/>
      <c r="E9" s="16" t="n"/>
      <c r="F9" s="16" t="n"/>
      <c r="G9" s="30" t="n"/>
      <c r="H9" s="16" t="n"/>
      <c r="I9" s="16" t="n"/>
      <c r="J9" s="31" t="n"/>
      <c r="K9" s="31" t="n"/>
      <c r="L9" s="16" t="n"/>
      <c r="M9" s="31">
        <f>M8-J9</f>
        <v/>
      </c>
      <c r="N9" s="32" t="n"/>
      <c r="P9" s="34" t="inlineStr">
        <is>
          <t>🎵멜론</t>
        </is>
      </c>
      <c r="Q9" s="35">
        <f>SUMIF($I$6:$I$56,P9,$J$6:$J$56)</f>
        <v/>
      </c>
      <c r="R9" s="35" t="n"/>
      <c r="U9" s="35">
        <f>SUMIF($I$6:$I$56,T9,$J$6:$J$56)</f>
        <v/>
      </c>
      <c r="V9" s="16" t="n"/>
      <c r="W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9" s="16" t="n"/>
    </row>
    <row r="10">
      <c r="A10" s="16" t="n"/>
      <c r="B10" s="28" t="inlineStr">
        <is>
          <t>보유 현금</t>
        </is>
      </c>
      <c r="C10" s="16" t="n"/>
      <c r="D10" s="16" t="n"/>
      <c r="E10" s="16" t="n"/>
      <c r="F10" s="16" t="n"/>
      <c r="G10" s="30" t="n"/>
      <c r="H10" s="16" t="n"/>
      <c r="I10" s="16" t="n"/>
      <c r="J10" s="31" t="n"/>
      <c r="K10" s="31" t="n"/>
      <c r="L10" s="16" t="n"/>
      <c r="M10" s="31">
        <f>M9-J10</f>
        <v/>
      </c>
      <c r="N10" s="32" t="n"/>
      <c r="P10" s="34" t="inlineStr">
        <is>
          <t>🛡️보험료</t>
        </is>
      </c>
      <c r="Q10" s="35">
        <f>SUMIF($I$6:$I$56,P10,$J$6:$J$56)</f>
        <v/>
      </c>
      <c r="R10" s="35" t="n"/>
      <c r="U10" s="35">
        <f>SUMIF($I$6:$I$56,T10,$J$6:$J$56)</f>
        <v/>
      </c>
      <c r="V10" s="16" t="n"/>
      <c r="W10" s="103">
        <f>IFERROR(SUMIF($G$6:$G$56, W9, $J$6:$J$56), "")</f>
        <v/>
      </c>
      <c r="X10" s="103">
        <f>IFERROR(SUMIF($G$6:$G$56, X9, $J$6:$J$56), "")</f>
        <v/>
      </c>
      <c r="Y10" s="103">
        <f>IFERROR(SUMIF($G$6:$G$56, Y9, $J$6:$J$56), "")</f>
        <v/>
      </c>
      <c r="Z10" s="103">
        <f>IFERROR(SUMIF($G$6:$G$56, Z9, $J$6:$J$56), "")</f>
        <v/>
      </c>
      <c r="AA10" s="103">
        <f>IFERROR(SUMIF($G$6:$G$56, AA9, $J$6:$J$56), "")</f>
        <v/>
      </c>
      <c r="AB10" s="103">
        <f>IFERROR(SUMIF($G$6:$G$56, AB9, $J$6:$J$56), "")</f>
        <v/>
      </c>
      <c r="AC10" s="103">
        <f>IFERROR(SUMIF($G$6:$G$56, AC9, $J$6:$J$56), "")</f>
        <v/>
      </c>
      <c r="AD10" s="16" t="n"/>
    </row>
    <row r="11">
      <c r="A11" s="16" t="n"/>
      <c r="B11" s="28" t="inlineStr">
        <is>
          <t>월급에 대한 저축률</t>
        </is>
      </c>
      <c r="C11" s="39">
        <f>C8/E15</f>
        <v/>
      </c>
      <c r="D11" s="16" t="n"/>
      <c r="E11" s="16" t="n"/>
      <c r="F11" s="16" t="n"/>
      <c r="G11" s="30" t="n"/>
      <c r="H11" s="16" t="n"/>
      <c r="I11" s="16" t="n"/>
      <c r="J11" s="31" t="n"/>
      <c r="K11" s="31" t="n"/>
      <c r="L11" s="16" t="n"/>
      <c r="M11" s="31">
        <f>M10-J11</f>
        <v/>
      </c>
      <c r="N11" s="32" t="n"/>
      <c r="P11" s="34" t="inlineStr">
        <is>
          <t>🏠생활비</t>
        </is>
      </c>
      <c r="Q11" s="35">
        <f>SUMIF($I$6:$I$56,P11,$J$6:$J$56)</f>
        <v/>
      </c>
      <c r="R11" s="40" t="n"/>
      <c r="U11" s="35">
        <f>SUMIF($I$6:$I$56,T11,$J$6:$J$56)</f>
        <v/>
      </c>
      <c r="V11" s="16" t="n"/>
      <c r="W11" s="104" t="n"/>
      <c r="X11" s="104" t="n"/>
      <c r="Y11" s="104" t="n"/>
      <c r="Z11" s="104" t="n"/>
      <c r="AA11" s="104" t="n"/>
      <c r="AB11" s="104" t="n"/>
      <c r="AC11" s="104" t="n"/>
      <c r="AD11" s="16" t="n"/>
    </row>
    <row r="12">
      <c r="A12" s="16" t="n"/>
      <c r="B12" s="16" t="n"/>
      <c r="C12" s="16" t="n"/>
      <c r="D12" s="16" t="n"/>
      <c r="E12" s="16" t="n"/>
      <c r="F12" s="16" t="n"/>
      <c r="G12" s="30" t="n"/>
      <c r="H12" s="16" t="n"/>
      <c r="I12" s="16" t="n"/>
      <c r="J12" s="31" t="n"/>
      <c r="K12" s="31" t="n"/>
      <c r="L12" s="16" t="n"/>
      <c r="M12" s="31">
        <f>M11-J12</f>
        <v/>
      </c>
      <c r="N12" s="32" t="n"/>
      <c r="P12" s="16" t="inlineStr">
        <is>
          <t>💬카카오이모티콘</t>
        </is>
      </c>
      <c r="Q12" s="35">
        <f>SUMIF($I$6:$I$56,P12,$J$6:$J$56)</f>
        <v/>
      </c>
      <c r="R12" s="16" t="n"/>
      <c r="S12" s="41">
        <f>'(필수)설정 시트'!E46</f>
        <v/>
      </c>
      <c r="U12" s="42">
        <f>SUM(U6:U11)</f>
        <v/>
      </c>
      <c r="V12" s="16" t="n"/>
      <c r="W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2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2" s="16" t="n"/>
    </row>
    <row r="13">
      <c r="A13" s="16" t="n"/>
      <c r="B13" s="105" t="inlineStr">
        <is>
          <t>수입</t>
        </is>
      </c>
      <c r="C13" s="24" t="inlineStr">
        <is>
          <t>분류</t>
        </is>
      </c>
      <c r="D13" s="24" t="inlineStr">
        <is>
          <t>목표금액</t>
        </is>
      </c>
      <c r="E13" s="24" t="inlineStr">
        <is>
          <t>합계</t>
        </is>
      </c>
      <c r="F13" s="16" t="n"/>
      <c r="G13" s="30" t="n"/>
      <c r="H13" s="16" t="n"/>
      <c r="I13" s="16" t="n"/>
      <c r="J13" s="31" t="n"/>
      <c r="K13" s="31" t="n"/>
      <c r="L13" s="16" t="n"/>
      <c r="M13" s="31">
        <f>M12-J13</f>
        <v/>
      </c>
      <c r="N13" s="32" t="n"/>
      <c r="P13" s="16" t="inlineStr">
        <is>
          <t>🏡주택청약</t>
        </is>
      </c>
      <c r="Q13" s="35">
        <f>SUMIF($I$6:$I$56,P13,$J$6:$J$56)</f>
        <v/>
      </c>
      <c r="R13" s="16" t="n"/>
      <c r="S13" s="33">
        <f>'(필수)설정 시트'!E47</f>
        <v/>
      </c>
      <c r="T13" s="16" t="inlineStr">
        <is>
          <t>👨‍👩‍👧가족</t>
        </is>
      </c>
      <c r="U13" s="35">
        <f>SUMIF($I$6:$I$56,T13,$J$6:$J$56)</f>
        <v/>
      </c>
      <c r="V13" s="16" t="n"/>
      <c r="W13" s="103">
        <f>IFERROR(SUMIF($G$6:$G$56, W12, $J$6:$J$56), "")</f>
        <v/>
      </c>
      <c r="X13" s="103">
        <f>IFERROR(SUMIF($G$6:$G$56, X12, $J$6:$J$56), "")</f>
        <v/>
      </c>
      <c r="Y13" s="103">
        <f>IFERROR(SUMIF($G$6:$G$56, Y12, $J$6:$J$56), "")</f>
        <v/>
      </c>
      <c r="Z13" s="103">
        <f>IFERROR(SUMIF($G$6:$G$56, Z12, $J$6:$J$56), "")</f>
        <v/>
      </c>
      <c r="AA13" s="103">
        <f>IFERROR(SUMIF($G$6:$G$56, AA12, $J$6:$J$56), "")</f>
        <v/>
      </c>
      <c r="AB13" s="103">
        <f>IFERROR(SUMIF($G$6:$G$56, AB12, $J$6:$J$56), "")</f>
        <v/>
      </c>
      <c r="AC13" s="103">
        <f>IFERROR(SUMIF($G$6:$G$56, AC12, $J$6:$J$56), "")</f>
        <v/>
      </c>
      <c r="AD13" s="16" t="n"/>
    </row>
    <row r="14">
      <c r="A14" s="16" t="n"/>
      <c r="B14" s="106" t="n"/>
      <c r="C14" s="24" t="n"/>
      <c r="D14" s="24" t="n"/>
      <c r="E14" s="24" t="n"/>
      <c r="F14" s="16" t="n"/>
      <c r="G14" s="30" t="n"/>
      <c r="H14" s="16" t="n"/>
      <c r="I14" s="16" t="n"/>
      <c r="J14" s="31" t="n"/>
      <c r="K14" s="31" t="n"/>
      <c r="L14" s="16" t="n"/>
      <c r="M14" s="31">
        <f>M13-J14</f>
        <v/>
      </c>
      <c r="N14" s="32" t="n"/>
      <c r="P14" s="16" t="inlineStr">
        <is>
          <t>💰적금</t>
        </is>
      </c>
      <c r="Q14" s="35">
        <f>SUMIF($I$6:$I$56,P14,$J$6:$J$56)</f>
        <v/>
      </c>
      <c r="R14" s="16" t="n"/>
      <c r="T14" s="16" t="inlineStr">
        <is>
          <t>💑데이트</t>
        </is>
      </c>
      <c r="U14" s="35">
        <f>SUMIF($I$6:$I$56,T14,$J$6:$J$56)</f>
        <v/>
      </c>
      <c r="V14" s="16" t="n"/>
      <c r="W14" s="107" t="n"/>
      <c r="X14" s="107" t="n"/>
      <c r="Y14" s="107" t="n"/>
      <c r="Z14" s="107" t="n"/>
      <c r="AA14" s="107" t="n"/>
      <c r="AB14" s="107" t="n"/>
      <c r="AC14" s="107" t="n"/>
      <c r="AD14" s="16" t="n"/>
    </row>
    <row r="15">
      <c r="A15" s="16" t="n"/>
      <c r="B15" s="106" t="n"/>
      <c r="C15" s="16">
        <f>'(필수)설정 시트'!C24</f>
        <v/>
      </c>
      <c r="D15" s="31" t="n">
        <v>0</v>
      </c>
      <c r="E15" s="31" t="n">
        <v>0</v>
      </c>
      <c r="F15" s="16" t="n"/>
      <c r="G15" s="30" t="n"/>
      <c r="H15" s="16" t="n"/>
      <c r="I15" s="16" t="n"/>
      <c r="J15" s="31" t="n"/>
      <c r="K15" s="31" t="n"/>
      <c r="L15" s="16" t="n"/>
      <c r="M15" s="31">
        <f>M13-J15</f>
        <v/>
      </c>
      <c r="N15" s="32" t="n"/>
      <c r="P15" s="16" t="n"/>
      <c r="Q15" s="35" t="n"/>
      <c r="R15" s="16" t="n"/>
      <c r="T15" s="16" t="inlineStr">
        <is>
          <t>🎁선물</t>
        </is>
      </c>
      <c r="U15" s="35">
        <f>SUMIF($I$6:$I$56,T15,$J$6:$J$56)</f>
        <v/>
      </c>
      <c r="V15" s="16" t="n"/>
      <c r="W15" s="104" t="n"/>
      <c r="X15" s="104" t="n"/>
      <c r="Y15" s="104" t="n"/>
      <c r="Z15" s="104" t="n"/>
      <c r="AA15" s="104" t="n"/>
      <c r="AB15" s="104" t="n"/>
      <c r="AC15" s="104" t="n"/>
      <c r="AD15" s="16" t="n"/>
    </row>
    <row r="16">
      <c r="A16" s="16" t="n"/>
      <c r="B16" s="106" t="n"/>
      <c r="C16" s="16">
        <f>'(필수)설정 시트'!C25</f>
        <v/>
      </c>
      <c r="D16" s="31" t="n">
        <v>0</v>
      </c>
      <c r="E16" s="31" t="n">
        <v>0</v>
      </c>
      <c r="F16" s="16" t="n"/>
      <c r="G16" s="30" t="n"/>
      <c r="H16" s="54" t="n"/>
      <c r="I16" s="54" t="n"/>
      <c r="J16" s="31" t="n"/>
      <c r="K16" s="31" t="n"/>
      <c r="L16" s="16" t="n"/>
      <c r="M16" s="31">
        <f>M15-J16</f>
        <v/>
      </c>
      <c r="N16" s="47" t="n"/>
      <c r="O16" s="41">
        <f>'(필수)설정 시트'!E41</f>
        <v/>
      </c>
      <c r="Q16" s="42">
        <f>SUM($Q$6:$Q$15)</f>
        <v/>
      </c>
      <c r="R16" s="16" t="n"/>
      <c r="T16" s="16" t="inlineStr">
        <is>
          <t>👥모임</t>
        </is>
      </c>
      <c r="U16" s="35">
        <f>SUMIF($I$6:$I$56,T16,$J$6:$J$56)</f>
        <v/>
      </c>
      <c r="V16" s="16" t="n"/>
      <c r="W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6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6" s="16" t="n"/>
    </row>
    <row r="17">
      <c r="A17" s="16" t="n"/>
      <c r="B17" s="106" t="n"/>
      <c r="C17" s="16">
        <f>'(필수)설정 시트'!C26</f>
        <v/>
      </c>
      <c r="D17" s="31" t="n">
        <v>0</v>
      </c>
      <c r="E17" s="31" t="n">
        <v>0</v>
      </c>
      <c r="F17" s="16" t="n"/>
      <c r="G17" s="30" t="n"/>
      <c r="H17" s="54" t="n"/>
      <c r="I17" s="54" t="n"/>
      <c r="J17" s="31" t="n"/>
      <c r="K17" s="31" t="n"/>
      <c r="L17" s="16" t="n"/>
      <c r="M17" s="31">
        <f>M16-J17</f>
        <v/>
      </c>
      <c r="N17" s="32" t="n"/>
      <c r="O17" s="33">
        <f>'(필수)설정 시트'!E42</f>
        <v/>
      </c>
      <c r="P17" s="16" t="inlineStr">
        <is>
          <t>🚇지하철비</t>
        </is>
      </c>
      <c r="Q17" s="35">
        <f>SUMIF($I$6:$I$56,P17,$J$6:$J$56)</f>
        <v/>
      </c>
      <c r="R17" s="16" t="n"/>
      <c r="T17" s="16" t="inlineStr">
        <is>
          <t>🧑‍🤝‍🧑지인</t>
        </is>
      </c>
      <c r="U17" s="35">
        <f>SUMIF($I$6:$I$56,T17,$J$6:$J$56)</f>
        <v/>
      </c>
      <c r="V17" s="16" t="n"/>
      <c r="W17" s="103">
        <f>IFERROR(SUMIF($G$6:$G$56, W16, $J$6:$J$56), "")</f>
        <v/>
      </c>
      <c r="X17" s="103">
        <f>IFERROR(SUMIF($G$6:$G$56, X16, $J$6:$J$56), "")</f>
        <v/>
      </c>
      <c r="Y17" s="103">
        <f>IFERROR(SUMIF($G$6:$G$56, Y16, $J$6:$J$56), "")</f>
        <v/>
      </c>
      <c r="Z17" s="103">
        <f>IFERROR(SUMIF($G$6:$G$56, Z16, $J$6:$J$56), "")</f>
        <v/>
      </c>
      <c r="AA17" s="103">
        <f>IFERROR(SUMIF($G$6:$G$56, AA16, $J$6:$J$56), "")</f>
        <v/>
      </c>
      <c r="AB17" s="103">
        <f>IFERROR(SUMIF($G$6:$G$56, AB16, $J$6:$J$56), "")</f>
        <v/>
      </c>
      <c r="AC17" s="103">
        <f>IFERROR(SUMIF($G$6:$G$56, AC16, $J$6:$J$56), "")</f>
        <v/>
      </c>
      <c r="AD17" s="16" t="n"/>
    </row>
    <row r="18">
      <c r="A18" s="16" t="n"/>
      <c r="B18" s="106" t="n"/>
      <c r="C18" s="16">
        <f>'(필수)설정 시트'!C27</f>
        <v/>
      </c>
      <c r="D18" s="31" t="n">
        <v>0</v>
      </c>
      <c r="E18" s="31" t="n">
        <v>0</v>
      </c>
      <c r="F18" s="16" t="n"/>
      <c r="G18" s="30" t="n"/>
      <c r="H18" s="54" t="n"/>
      <c r="I18" s="54" t="n"/>
      <c r="J18" s="31" t="n"/>
      <c r="K18" s="31" t="n"/>
      <c r="L18" s="16" t="n"/>
      <c r="M18" s="31">
        <f>M17-J18</f>
        <v/>
      </c>
      <c r="N18" s="32" t="n"/>
      <c r="P18" s="16" t="inlineStr">
        <is>
          <t>🚕택시비</t>
        </is>
      </c>
      <c r="Q18" s="35">
        <f>SUMIF($I$6:$I$56,P18,$J$6:$J$56)</f>
        <v/>
      </c>
      <c r="R18" s="16" t="n"/>
      <c r="U18" s="35">
        <f>SUMIF($I$6:$I$56,T18,$J$6:$J$56)</f>
        <v/>
      </c>
      <c r="V18" s="16" t="n"/>
      <c r="W18" s="104" t="n"/>
      <c r="X18" s="104" t="n"/>
      <c r="Y18" s="104" t="n"/>
      <c r="Z18" s="104" t="n"/>
      <c r="AA18" s="104" t="n"/>
      <c r="AB18" s="104" t="n"/>
      <c r="AC18" s="104" t="n"/>
      <c r="AD18" s="16" t="n"/>
    </row>
    <row r="19">
      <c r="A19" s="16" t="n"/>
      <c r="B19" s="108" t="n"/>
      <c r="C19" s="16">
        <f>'(필수)설정 시트'!C28</f>
        <v/>
      </c>
      <c r="D19" s="31" t="n">
        <v>0</v>
      </c>
      <c r="E19" s="31" t="n">
        <v>0</v>
      </c>
      <c r="F19" s="16" t="n"/>
      <c r="G19" s="30" t="n"/>
      <c r="H19" s="54" t="n"/>
      <c r="I19" s="54" t="n"/>
      <c r="J19" s="31" t="n"/>
      <c r="K19" s="31" t="n"/>
      <c r="L19" s="16" t="n"/>
      <c r="M19" s="31">
        <f>M18-J19</f>
        <v/>
      </c>
      <c r="N19" s="32" t="n"/>
      <c r="P19" s="16" t="inlineStr">
        <is>
          <t>🅿️주차비</t>
        </is>
      </c>
      <c r="Q19" s="35">
        <f>SUMIF($I$6:$I$56,P19,$J$6:$J$56)</f>
        <v/>
      </c>
      <c r="R19" s="16" t="n"/>
      <c r="U19" s="35">
        <f>SUMIF($I$6:$I$56,T19,$J$6:$J$56)</f>
        <v/>
      </c>
      <c r="V19" s="16" t="n"/>
      <c r="W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X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Y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Z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A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B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C19" s="36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  <c r="AD19" s="16" t="n"/>
    </row>
    <row r="20">
      <c r="A20" s="16" t="n"/>
      <c r="B20" s="43" t="inlineStr">
        <is>
          <t>총 수입</t>
        </is>
      </c>
      <c r="C20" s="109" t="n"/>
      <c r="D20" s="110" t="n"/>
      <c r="E20" s="31">
        <f>SUM(E15:E19)</f>
        <v/>
      </c>
      <c r="F20" s="16" t="n"/>
      <c r="G20" s="30" t="n"/>
      <c r="H20" s="54" t="n"/>
      <c r="I20" s="54" t="n"/>
      <c r="J20" s="31" t="n"/>
      <c r="K20" s="31" t="n"/>
      <c r="L20" s="16" t="n"/>
      <c r="M20" s="31">
        <f>M19-J20</f>
        <v/>
      </c>
      <c r="N20" s="32" t="n"/>
      <c r="P20" s="16" t="inlineStr">
        <is>
          <t>⛽주유비</t>
        </is>
      </c>
      <c r="Q20" s="35">
        <f>SUMIF($I$6:$I$56,P20,$J$6:$J$56)</f>
        <v/>
      </c>
      <c r="R20" s="16" t="n"/>
      <c r="S20" s="41">
        <f>'(필수)설정 시트'!E47</f>
        <v/>
      </c>
      <c r="U20" s="42">
        <f>SUM(U13:U19)</f>
        <v/>
      </c>
      <c r="V20" s="16" t="n"/>
      <c r="W20" s="103">
        <f>IFERROR(SUMIF($G$6:$G$56, W19, $J$6:$J$56), "")</f>
        <v/>
      </c>
      <c r="X20" s="103">
        <f>IFERROR(SUMIF($G$6:$G$56, X19, $J$6:$J$56), "")</f>
        <v/>
      </c>
      <c r="Y20" s="103">
        <f>IFERROR(SUMIF($G$6:$G$56, Y19, $J$6:$J$56), "")</f>
        <v/>
      </c>
      <c r="Z20" s="103">
        <f>IFERROR(SUMIF($G$6:$G$56, Z19, $J$6:$J$56), "")</f>
        <v/>
      </c>
      <c r="AA20" s="103">
        <f>IFERROR(SUMIF($G$6:$G$56, AA19, $J$6:$J$56), "")</f>
        <v/>
      </c>
      <c r="AB20" s="103">
        <f>IFERROR(SUMIF($G$6:$G$56, AB19, $J$6:$J$56), "")</f>
        <v/>
      </c>
      <c r="AC20" s="103">
        <f>IFERROR(SUMIF($G$6:$G$43, AC19, $J$6:$J$43), "")</f>
        <v/>
      </c>
      <c r="AD20" s="16" t="n"/>
    </row>
    <row r="21">
      <c r="A21" s="16" t="n"/>
      <c r="B21" s="105" t="inlineStr">
        <is>
          <t>저축</t>
        </is>
      </c>
      <c r="C21" s="24" t="inlineStr">
        <is>
          <t>분류</t>
        </is>
      </c>
      <c r="D21" s="24" t="inlineStr">
        <is>
          <t>목표금액</t>
        </is>
      </c>
      <c r="E21" s="24" t="inlineStr">
        <is>
          <t>합계</t>
        </is>
      </c>
      <c r="F21" s="52" t="inlineStr">
        <is>
          <t>보험료 고정</t>
        </is>
      </c>
      <c r="G21" s="30" t="n"/>
      <c r="H21" s="54" t="n"/>
      <c r="I21" s="54" t="n"/>
      <c r="J21" s="31" t="n"/>
      <c r="K21" s="31" t="n"/>
      <c r="L21" s="16" t="n"/>
      <c r="M21" s="31">
        <f>M20-J21</f>
        <v/>
      </c>
      <c r="N21" s="32" t="n"/>
      <c r="Q21" s="35">
        <f>SUMIF($I$6:$I$56,P21,$J$6:$J$56)</f>
        <v/>
      </c>
      <c r="R21" s="16" t="n"/>
      <c r="S21" s="33">
        <f>'(필수)설정 시트'!E48</f>
        <v/>
      </c>
      <c r="T21" s="16" t="inlineStr">
        <is>
          <t>🧧명절</t>
        </is>
      </c>
      <c r="U21" s="35">
        <f>SUMIF($I$6:$I$56,T21,$J$6:$J$56)</f>
        <v/>
      </c>
      <c r="V21" s="16" t="n"/>
      <c r="W21" s="104" t="n"/>
      <c r="X21" s="104" t="n"/>
      <c r="Y21" s="104" t="n"/>
      <c r="Z21" s="104" t="n"/>
      <c r="AA21" s="104" t="n"/>
      <c r="AB21" s="104" t="n"/>
      <c r="AC21" s="104" t="n"/>
      <c r="AD21" s="16" t="n"/>
    </row>
    <row r="22">
      <c r="A22" s="16" t="n"/>
      <c r="B22" s="106" t="n"/>
      <c r="C22" s="16">
        <f>'(필수)설정 시트'!F5</f>
        <v/>
      </c>
      <c r="D22" s="31" t="n">
        <v>0</v>
      </c>
      <c r="E22" s="31" t="n">
        <v>0</v>
      </c>
      <c r="F22" s="52" t="n"/>
      <c r="G22" s="30" t="n"/>
      <c r="H22" s="54" t="n"/>
      <c r="I22" s="54" t="n"/>
      <c r="J22" s="31" t="n"/>
      <c r="K22" s="31" t="n"/>
      <c r="L22" s="16" t="n"/>
      <c r="M22" s="31">
        <f>M21-J22</f>
        <v/>
      </c>
      <c r="N22" s="32" t="n"/>
      <c r="Q22" s="35">
        <f>SUMIF($I$6:$I$56,P22,$J$6:$J$56)</f>
        <v/>
      </c>
      <c r="R22" s="16" t="n"/>
      <c r="T22" s="16" t="n"/>
      <c r="U22" s="35">
        <f>SUMIF($I$6:$I$56,T22,$J$6:$J$56)</f>
        <v/>
      </c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16" t="n"/>
      <c r="B23" s="106" t="n"/>
      <c r="C23" s="16" t="n"/>
      <c r="D23" s="31" t="n">
        <v>0</v>
      </c>
      <c r="E23" s="31" t="n">
        <v>0</v>
      </c>
      <c r="F23" s="53" t="n"/>
      <c r="G23" s="30" t="n"/>
      <c r="H23" s="54" t="n"/>
      <c r="I23" s="54" t="n"/>
      <c r="J23" s="31" t="n"/>
      <c r="K23" s="31" t="n"/>
      <c r="L23" s="16" t="n"/>
      <c r="M23" s="31">
        <f>M22-J23</f>
        <v/>
      </c>
      <c r="N23" s="47" t="n"/>
      <c r="O23" s="41">
        <f>'(필수)설정 시트'!E42</f>
        <v/>
      </c>
      <c r="Q23" s="42">
        <f>SUM(Q17:Q22)</f>
        <v/>
      </c>
      <c r="R23" s="16" t="n"/>
      <c r="T23" s="16" t="n"/>
      <c r="U23" s="35">
        <f>SUMIF($I$6:$I$56,T23,$J$6:$J$56)</f>
        <v/>
      </c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16" t="n"/>
      <c r="B24" s="106" t="n"/>
      <c r="C24" s="16" t="n"/>
      <c r="D24" s="31" t="n">
        <v>0</v>
      </c>
      <c r="E24" s="31" t="n">
        <v>0</v>
      </c>
      <c r="F24" s="52" t="n"/>
      <c r="G24" s="30" t="n"/>
      <c r="H24" s="54" t="n"/>
      <c r="I24" s="54" t="n"/>
      <c r="J24" s="31" t="n"/>
      <c r="K24" s="31" t="n"/>
      <c r="L24" s="16" t="n"/>
      <c r="M24" s="31">
        <f>M23-J24</f>
        <v/>
      </c>
      <c r="N24" s="32" t="n"/>
      <c r="O24" s="33">
        <f>'(필수)설정 시트'!E43</f>
        <v/>
      </c>
      <c r="P24" s="16" t="inlineStr">
        <is>
          <t>☕간식/카페</t>
        </is>
      </c>
      <c r="Q24" s="35">
        <f>SUMIF($I$6:$I$56,P24,$J$6:$J$56)</f>
        <v/>
      </c>
      <c r="R24" s="16" t="n"/>
      <c r="T24" s="16" t="n"/>
      <c r="U24" s="35">
        <f>SUMIF($I$6:$I$56,T24,$J$6:$J$56)</f>
        <v/>
      </c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16" t="n"/>
      <c r="B25" s="106" t="n"/>
      <c r="C25" s="16">
        <f>'(필수)설정 시트'!F8</f>
        <v/>
      </c>
      <c r="D25" s="31" t="n">
        <v>0</v>
      </c>
      <c r="E25" s="31" t="n">
        <v>0</v>
      </c>
      <c r="F25" s="53" t="n"/>
      <c r="G25" s="30" t="n"/>
      <c r="H25" s="16" t="n"/>
      <c r="I25" s="55" t="n"/>
      <c r="J25" s="31" t="n"/>
      <c r="K25" s="31" t="n"/>
      <c r="L25" s="16" t="n"/>
      <c r="M25" s="31">
        <f>M24-J25</f>
        <v/>
      </c>
      <c r="N25" s="32" t="n"/>
      <c r="P25" s="16" t="inlineStr">
        <is>
          <t>🍽️외식</t>
        </is>
      </c>
      <c r="Q25" s="35">
        <f>SUMIF($I$6:$I$56,P25,$J$6:$J$56)</f>
        <v/>
      </c>
      <c r="R25" s="16" t="n"/>
      <c r="U25" s="35">
        <f>SUMIF($I$6:$I$56,T25,$J$6:$J$56)</f>
        <v/>
      </c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16" t="n"/>
      <c r="B26" s="106" t="n"/>
      <c r="C26" s="16">
        <f>'(필수)설정 시트'!F9</f>
        <v/>
      </c>
      <c r="D26" s="31" t="n">
        <v>0</v>
      </c>
      <c r="E26" s="31" t="n">
        <v>0</v>
      </c>
      <c r="G26" s="30" t="n"/>
      <c r="H26" s="16" t="n"/>
      <c r="I26" s="54" t="n"/>
      <c r="J26" s="31" t="n"/>
      <c r="K26" s="31" t="n"/>
      <c r="L26" s="16" t="n"/>
      <c r="M26" s="31">
        <f>M25-J26</f>
        <v/>
      </c>
      <c r="N26" s="32" t="n"/>
      <c r="P26" s="16" t="inlineStr">
        <is>
          <t>🍱식재료비</t>
        </is>
      </c>
      <c r="Q26" s="35">
        <f>SUMIF($I$6:$I$56,P26,$J$6:$J$56)</f>
        <v/>
      </c>
      <c r="R26" s="16" t="n"/>
      <c r="T26" s="16" t="n"/>
      <c r="U26" s="35">
        <f>SUMIF($I$6:$I$56,T26,$J$6:$J$56)</f>
        <v/>
      </c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16" t="n"/>
      <c r="B27" s="106" t="n"/>
      <c r="C27" s="16">
        <f>'(필수)설정 시트'!F10</f>
        <v/>
      </c>
      <c r="D27" s="31" t="n">
        <v>0</v>
      </c>
      <c r="E27" s="31" t="n">
        <v>0</v>
      </c>
      <c r="F27" s="16" t="n"/>
      <c r="G27" s="30" t="n"/>
      <c r="H27" s="16" t="n"/>
      <c r="I27" s="54" t="n"/>
      <c r="J27" s="31" t="n"/>
      <c r="K27" s="31" t="n"/>
      <c r="L27" s="16" t="n"/>
      <c r="M27" s="31">
        <f>M26-J27</f>
        <v/>
      </c>
      <c r="N27" s="32" t="n"/>
      <c r="P27" s="16" t="inlineStr">
        <is>
          <t>🌅아침</t>
        </is>
      </c>
      <c r="Q27" s="35">
        <f>SUMIF($I$6:$I$56,P27,$J$6:$J$56)</f>
        <v/>
      </c>
      <c r="R27" s="16" t="n"/>
      <c r="S27" s="41">
        <f>'(필수)설정 시트'!E48</f>
        <v/>
      </c>
      <c r="U27" s="42">
        <f>SUM(U21:U26)</f>
        <v/>
      </c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16" t="n"/>
      <c r="B28" s="106" t="n"/>
      <c r="C28" s="16">
        <f>'(필수)설정 시트'!F11</f>
        <v/>
      </c>
      <c r="D28" s="31" t="n">
        <v>0</v>
      </c>
      <c r="E28" s="31" t="n">
        <v>0</v>
      </c>
      <c r="F28" s="16" t="n"/>
      <c r="G28" s="30" t="n"/>
      <c r="H28" s="16" t="n"/>
      <c r="I28" s="54" t="n"/>
      <c r="J28" s="31" t="n"/>
      <c r="K28" s="31" t="n"/>
      <c r="L28" s="16" t="n"/>
      <c r="M28" s="31">
        <f>M27-J28</f>
        <v/>
      </c>
      <c r="N28" s="32" t="n"/>
      <c r="P28" s="16" t="inlineStr">
        <is>
          <t>🍛점심</t>
        </is>
      </c>
      <c r="Q28" s="35">
        <f>SUMIF($I$6:$I$56,P28,$J$6:$J$56)</f>
        <v/>
      </c>
      <c r="R28" s="16" t="n"/>
      <c r="S28" s="33">
        <f>'(필수)설정 시트'!E49</f>
        <v/>
      </c>
      <c r="T28" s="16" t="inlineStr">
        <is>
          <t>🏥병원</t>
        </is>
      </c>
      <c r="U28" s="35">
        <f>SUMIF($I$6:$I$56,T28,$J$6:$J$56)</f>
        <v/>
      </c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16" t="n"/>
      <c r="B29" s="106" t="n"/>
      <c r="C29" s="16">
        <f>'(필수)설정 시트'!F12</f>
        <v/>
      </c>
      <c r="D29" s="31" t="n">
        <v>0</v>
      </c>
      <c r="E29" s="31" t="n">
        <v>0</v>
      </c>
      <c r="F29" s="16" t="n"/>
      <c r="G29" s="30" t="n"/>
      <c r="H29" s="16" t="n"/>
      <c r="I29" s="16" t="n"/>
      <c r="J29" s="31" t="n"/>
      <c r="K29" s="31" t="n"/>
      <c r="L29" s="16" t="n"/>
      <c r="M29" s="31">
        <f>M28-J29</f>
        <v/>
      </c>
      <c r="N29" s="32" t="n"/>
      <c r="P29" s="16" t="inlineStr">
        <is>
          <t>🌙저녁</t>
        </is>
      </c>
      <c r="Q29" s="35">
        <f>SUMIF($I$6:$I$56,P29,$J$6:$J$56)</f>
        <v/>
      </c>
      <c r="R29" s="16" t="n"/>
      <c r="T29" s="16" t="inlineStr">
        <is>
          <t>💊약국</t>
        </is>
      </c>
      <c r="U29" s="35">
        <f>SUMIF($I$6:$I$56,T29,$J$6:$J$56)</f>
        <v/>
      </c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16" t="n"/>
      <c r="B30" s="106" t="n"/>
      <c r="C30" s="16">
        <f>'(필수)설정 시트'!F13</f>
        <v/>
      </c>
      <c r="D30" s="31" t="n">
        <v>0</v>
      </c>
      <c r="E30" s="31" t="n">
        <v>0</v>
      </c>
      <c r="F30" s="16" t="n"/>
      <c r="G30" s="30" t="n"/>
      <c r="H30" s="16" t="n"/>
      <c r="I30" s="16" t="n"/>
      <c r="J30" s="31" t="n"/>
      <c r="K30" s="31" t="n"/>
      <c r="L30" s="16" t="n"/>
      <c r="M30" s="31">
        <f>M29-J30</f>
        <v/>
      </c>
      <c r="N30" s="32" t="n"/>
      <c r="P30" s="16" t="inlineStr">
        <is>
          <t>🛵배달</t>
        </is>
      </c>
      <c r="Q30" s="35">
        <f>SUMIF($I$6:$I$56,P30,$J$6:$J$56)</f>
        <v/>
      </c>
      <c r="R30" s="16" t="n"/>
      <c r="T30" s="16" t="inlineStr">
        <is>
          <t>💊영양제</t>
        </is>
      </c>
      <c r="U30" s="35">
        <f>SUMIF($I$6:$I$56,T30,$J$6:$J$56)</f>
        <v/>
      </c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16" t="n"/>
      <c r="B31" s="106" t="n"/>
      <c r="C31" s="16">
        <f>'(필수)설정 시트'!F14</f>
        <v/>
      </c>
      <c r="D31" s="31" t="n">
        <v>0</v>
      </c>
      <c r="E31" s="31" t="n">
        <v>0</v>
      </c>
      <c r="F31" s="16" t="n"/>
      <c r="G31" s="30" t="n"/>
      <c r="H31" s="16" t="n"/>
      <c r="I31" s="16" t="n"/>
      <c r="J31" s="31" t="n"/>
      <c r="K31" s="31" t="n"/>
      <c r="L31" s="16" t="n"/>
      <c r="M31" s="31">
        <f>M30-J31</f>
        <v/>
      </c>
      <c r="N31" s="47" t="n"/>
      <c r="O31" s="41">
        <f>'(필수)설정 시트'!E43</f>
        <v/>
      </c>
      <c r="Q31" s="42">
        <f>SUM(Q24:Q30)</f>
        <v/>
      </c>
      <c r="R31" s="16" t="n"/>
      <c r="T31" s="16" t="n"/>
      <c r="U31" s="35">
        <f>SUMIF($I$6:$I$56,T31,$J$6:$J$56)</f>
        <v/>
      </c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16" t="n"/>
      <c r="B32" s="106" t="n"/>
      <c r="C32" s="16">
        <f>'(필수)설정 시트'!F15</f>
        <v/>
      </c>
      <c r="D32" s="31" t="n">
        <v>0</v>
      </c>
      <c r="E32" s="31" t="n">
        <v>0</v>
      </c>
      <c r="F32" s="16" t="n"/>
      <c r="G32" s="30" t="n"/>
      <c r="H32" s="16" t="n"/>
      <c r="I32" s="16" t="n"/>
      <c r="J32" s="31" t="n"/>
      <c r="K32" s="31" t="n"/>
      <c r="L32" s="16" t="n"/>
      <c r="M32" s="31">
        <f>M31-J32</f>
        <v/>
      </c>
      <c r="N32" s="32" t="n"/>
      <c r="O32" s="33">
        <f>'(필수)설정 시트'!E44</f>
        <v/>
      </c>
      <c r="P32" s="16" t="inlineStr">
        <is>
          <t>🎓강의</t>
        </is>
      </c>
      <c r="Q32" s="35">
        <f>SUMIF($I$6:$I$56,P32,$J$6:$J$56)</f>
        <v/>
      </c>
      <c r="R32" s="16" t="n"/>
      <c r="T32" s="16" t="n"/>
      <c r="U32" s="35">
        <f>SUMIF($I$6:$I$56,T32,$J$6:$J$56)</f>
        <v/>
      </c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16" t="n"/>
      <c r="B33" s="108" t="n"/>
      <c r="C33" s="16">
        <f>'(필수)설정 시트'!F16</f>
        <v/>
      </c>
      <c r="D33" s="31" t="n">
        <v>0</v>
      </c>
      <c r="E33" s="31" t="n">
        <v>0</v>
      </c>
      <c r="F33" s="16" t="n"/>
      <c r="G33" s="30" t="n"/>
      <c r="H33" s="16" t="n"/>
      <c r="I33" s="16" t="n"/>
      <c r="J33" s="31" t="n"/>
      <c r="K33" s="31" t="n"/>
      <c r="L33" s="16" t="n"/>
      <c r="M33" s="31">
        <f>M32-J33</f>
        <v/>
      </c>
      <c r="N33" s="32" t="n"/>
      <c r="P33" s="16" t="inlineStr">
        <is>
          <t>🪪자격증</t>
        </is>
      </c>
      <c r="Q33" s="35">
        <f>SUMIF($I$6:$I$56,P33,$J$6:$J$56)</f>
        <v/>
      </c>
      <c r="R33" s="16" t="n"/>
      <c r="T33" s="16" t="n"/>
      <c r="U33" s="35">
        <f>SUMIF($I$6:$I$56,T33,$J$6:$J$56)</f>
        <v/>
      </c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6" t="n"/>
      <c r="B34" s="43" t="inlineStr">
        <is>
          <t>총 저축</t>
        </is>
      </c>
      <c r="C34" s="109" t="n"/>
      <c r="D34" s="110" t="n"/>
      <c r="E34" s="31">
        <f>SUM(E22:E33)</f>
        <v/>
      </c>
      <c r="F34" s="16" t="n"/>
      <c r="G34" s="30" t="n"/>
      <c r="H34" s="16" t="n"/>
      <c r="I34" s="16" t="n"/>
      <c r="J34" s="31" t="n"/>
      <c r="K34" s="31" t="n"/>
      <c r="L34" s="16" t="n"/>
      <c r="M34" s="31">
        <f>M33-J34</f>
        <v/>
      </c>
      <c r="N34" s="32" t="n"/>
      <c r="P34" s="16" t="inlineStr">
        <is>
          <t>📚도서</t>
        </is>
      </c>
      <c r="Q34" s="35">
        <f>SUMIF($I$6:$I$56,P34,$J$6:$J$56)</f>
        <v/>
      </c>
      <c r="R34" s="16" t="n"/>
      <c r="S34" s="41">
        <f>'(필수)설정 시트'!E49</f>
        <v/>
      </c>
      <c r="U34" s="42">
        <f>SUM(U28:U33)</f>
        <v/>
      </c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16" t="n"/>
      <c r="B35" s="16" t="n"/>
      <c r="C35" s="16" t="n"/>
      <c r="D35" s="16" t="n"/>
      <c r="E35" s="16" t="n"/>
      <c r="F35" s="16" t="n"/>
      <c r="G35" s="30" t="n"/>
      <c r="H35" s="16" t="n"/>
      <c r="I35" s="16" t="n"/>
      <c r="J35" s="31" t="n"/>
      <c r="K35" s="31" t="n"/>
      <c r="L35" s="16" t="n"/>
      <c r="M35" s="31">
        <f>M34-J35</f>
        <v/>
      </c>
      <c r="N35" s="32" t="n"/>
      <c r="P35" s="16" t="inlineStr">
        <is>
          <t>🤖AI</t>
        </is>
      </c>
      <c r="Q35" s="35">
        <f>SUMIF($I$6:$I$56,P35,$J$6:$J$56)</f>
        <v/>
      </c>
      <c r="R35" s="16" t="n"/>
      <c r="S35" s="33">
        <f>'(필수)설정 시트'!E50</f>
        <v/>
      </c>
      <c r="T35" s="16" t="inlineStr">
        <is>
          <t>💸축의금</t>
        </is>
      </c>
      <c r="U35" s="35">
        <f>SUMIF($I$6:$I$56,T35,$J$6:$J$56)</f>
        <v/>
      </c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16" t="n"/>
      <c r="B36" s="16" t="n"/>
      <c r="C36" s="16" t="n"/>
      <c r="D36" s="16" t="n"/>
      <c r="E36" s="16" t="n"/>
      <c r="G36" s="30" t="n"/>
      <c r="H36" s="16" t="n"/>
      <c r="I36" s="16" t="n"/>
      <c r="J36" s="31" t="n"/>
      <c r="K36" s="31" t="n"/>
      <c r="L36" s="16" t="n"/>
      <c r="M36" s="31">
        <f>M35-J36</f>
        <v/>
      </c>
      <c r="N36" s="32" t="n"/>
      <c r="Q36" s="35">
        <f>SUMIF($I$6:$I$56,P36,$J$6:$J$56)</f>
        <v/>
      </c>
      <c r="R36" s="16" t="n"/>
      <c r="T36" s="16" t="inlineStr">
        <is>
          <t>🖤부의금</t>
        </is>
      </c>
      <c r="U36" s="35">
        <f>SUMIF($I$6:$I$56,T36,$J$6:$J$56)</f>
        <v/>
      </c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16" t="n"/>
      <c r="B37" s="16" t="n"/>
      <c r="C37" s="16" t="n"/>
      <c r="D37" s="16" t="n"/>
      <c r="E37" s="16" t="n"/>
      <c r="F37" s="16" t="n"/>
      <c r="G37" s="30" t="n"/>
      <c r="H37" s="16" t="n"/>
      <c r="I37" s="16" t="n"/>
      <c r="J37" s="31" t="n"/>
      <c r="K37" s="31" t="n"/>
      <c r="L37" s="16" t="n"/>
      <c r="M37" s="31">
        <f>M36-J37</f>
        <v/>
      </c>
      <c r="N37" s="32" t="n"/>
      <c r="Q37" s="35">
        <f>SUMIF($I$6:$I$56,P37,$J$6:$J$56)</f>
        <v/>
      </c>
      <c r="R37" s="16" t="n"/>
      <c r="T37" s="16" t="n"/>
      <c r="U37" s="35">
        <f>SUMIF($I$6:$I$56,T37,$J$6:$J$56)</f>
        <v/>
      </c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16" t="n"/>
      <c r="B38" s="16" t="n"/>
      <c r="C38" s="16" t="n"/>
      <c r="D38" s="56" t="n"/>
      <c r="F38" s="16" t="n"/>
      <c r="G38" s="30" t="n"/>
      <c r="H38" s="16" t="n"/>
      <c r="I38" s="16" t="n"/>
      <c r="J38" s="31" t="n"/>
      <c r="K38" s="31" t="n"/>
      <c r="L38" s="16" t="n"/>
      <c r="M38" s="31">
        <f>M37-J38</f>
        <v/>
      </c>
      <c r="N38" s="47" t="n"/>
      <c r="O38" s="41">
        <f>'(필수)설정 시트'!E44</f>
        <v/>
      </c>
      <c r="Q38" s="42">
        <f>SUM(Q32:Q37)</f>
        <v/>
      </c>
      <c r="R38" s="16" t="n"/>
      <c r="T38" s="16" t="n"/>
      <c r="U38" s="35">
        <f>SUMIF($I$6:$I$56,T38,$J$6:$J$56)</f>
        <v/>
      </c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16" t="n"/>
      <c r="B39" s="16" t="n"/>
      <c r="C39" s="16" t="n"/>
      <c r="D39" s="56" t="n"/>
      <c r="E39" s="56" t="n"/>
      <c r="F39" s="16" t="n"/>
      <c r="G39" s="30" t="n"/>
      <c r="H39" s="16" t="n"/>
      <c r="I39" s="16" t="n"/>
      <c r="J39" s="31" t="n"/>
      <c r="K39" s="31" t="n"/>
      <c r="L39" s="16" t="n"/>
      <c r="M39" s="31">
        <f>M38-J39</f>
        <v/>
      </c>
      <c r="N39" s="32" t="n"/>
      <c r="O39" s="33">
        <f>'(필수)설정 시트'!E45</f>
        <v/>
      </c>
      <c r="P39" s="16" t="inlineStr">
        <is>
          <t>🎭문화생활</t>
        </is>
      </c>
      <c r="Q39" s="35">
        <f>SUMIF($I$6:$I$56,P39,$J$6:$J$56)</f>
        <v/>
      </c>
      <c r="R39" s="16" t="n"/>
      <c r="T39" s="16" t="n"/>
      <c r="U39" s="35">
        <f>SUMIF($I$6:$I$56,T39,$J$6:$J$56)</f>
        <v/>
      </c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16" t="n"/>
      <c r="B40" s="16" t="n"/>
      <c r="C40" s="16" t="n"/>
      <c r="D40" s="56" t="n"/>
      <c r="E40" s="56" t="n"/>
      <c r="F40" s="16" t="n"/>
      <c r="G40" s="30" t="n"/>
      <c r="H40" s="16" t="n"/>
      <c r="I40" s="16" t="n"/>
      <c r="J40" s="31" t="n"/>
      <c r="K40" s="31" t="n"/>
      <c r="L40" s="16" t="n"/>
      <c r="M40" s="31">
        <f>M39-J40</f>
        <v/>
      </c>
      <c r="N40" s="32" t="n"/>
      <c r="P40" s="16" t="inlineStr">
        <is>
          <t>✈️여행</t>
        </is>
      </c>
      <c r="Q40" s="35">
        <f>SUMIF($I$6:$I$56,P40,$J$6:$J$56)</f>
        <v/>
      </c>
      <c r="R40" s="16" t="n"/>
      <c r="T40" s="16" t="n"/>
      <c r="U40" s="35">
        <f>SUMIF($I$6:$I$56,T40,$J$6:$J$56)</f>
        <v/>
      </c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16" t="n"/>
      <c r="B41" s="16" t="n"/>
      <c r="C41" s="16" t="n"/>
      <c r="D41" s="56" t="n"/>
      <c r="E41" s="56" t="n"/>
      <c r="F41" s="16" t="n"/>
      <c r="G41" s="30" t="n"/>
      <c r="H41" s="16" t="n"/>
      <c r="I41" s="16" t="n"/>
      <c r="J41" s="31" t="n"/>
      <c r="K41" s="31" t="n"/>
      <c r="L41" s="16" t="n"/>
      <c r="M41" s="31">
        <f>M40-J41</f>
        <v/>
      </c>
      <c r="N41" s="32" t="n"/>
      <c r="P41" s="16" t="inlineStr">
        <is>
          <t>🎨취미활동</t>
        </is>
      </c>
      <c r="Q41" s="35">
        <f>SUMIF($I$6:$I$56,P41,$J$6:$J$56)</f>
        <v/>
      </c>
      <c r="R41" s="16" t="n"/>
      <c r="S41" s="41">
        <f>'(필수)설정 시트'!E50</f>
        <v/>
      </c>
      <c r="U41" s="42">
        <f>SUM(U35:U40)</f>
        <v/>
      </c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6" t="n"/>
      <c r="B42" s="16" t="n"/>
      <c r="C42" s="16" t="n"/>
      <c r="D42" s="16" t="n"/>
      <c r="E42" s="16" t="n"/>
      <c r="F42" s="16" t="n"/>
      <c r="G42" s="30" t="n"/>
      <c r="H42" s="16" t="n"/>
      <c r="I42" s="16" t="n"/>
      <c r="J42" s="31" t="n"/>
      <c r="K42" s="31" t="n"/>
      <c r="L42" s="16" t="n"/>
      <c r="M42" s="31">
        <f>M41-J42</f>
        <v/>
      </c>
      <c r="N42" s="32" t="n"/>
      <c r="P42" s="16" t="n"/>
      <c r="Q42" s="35">
        <f>SUMIF($I$6:$I$56,P42,$J$6:$J$56)</f>
        <v/>
      </c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16" t="n"/>
      <c r="B43" s="16" t="n"/>
      <c r="C43" s="16" t="n"/>
      <c r="D43" s="16" t="n"/>
      <c r="E43" s="16" t="n"/>
      <c r="F43" s="16" t="n"/>
      <c r="G43" s="30" t="n"/>
      <c r="H43" s="16" t="n"/>
      <c r="I43" s="16" t="n"/>
      <c r="J43" s="31" t="n"/>
      <c r="K43" s="31" t="n"/>
      <c r="L43" s="16" t="n"/>
      <c r="M43" s="31">
        <f>M42-J43</f>
        <v/>
      </c>
      <c r="N43" s="32" t="n"/>
      <c r="Q43" s="35">
        <f>SUMIF($I$6:$I$56,P43,$J$6:$J$56)</f>
        <v/>
      </c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16" t="n"/>
      <c r="B44" s="16" t="n"/>
      <c r="C44" s="16" t="n"/>
      <c r="D44" s="16" t="n"/>
      <c r="E44" s="16" t="n"/>
      <c r="F44" s="16" t="n"/>
      <c r="G44" s="30" t="n"/>
      <c r="H44" s="16" t="n"/>
      <c r="I44" s="16" t="n"/>
      <c r="J44" s="31" t="n"/>
      <c r="K44" s="31" t="n"/>
      <c r="L44" s="16" t="n"/>
      <c r="M44" s="31">
        <f>M43-J44</f>
        <v/>
      </c>
      <c r="N44" s="32" t="n"/>
      <c r="P44" s="16" t="n"/>
      <c r="Q44" s="35">
        <f>SUMIF($I$6:$I$56,P44,$J$6:$J$56)</f>
        <v/>
      </c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16" t="n"/>
      <c r="B45" s="16" t="n"/>
      <c r="C45" s="16" t="n"/>
      <c r="D45" s="16" t="n"/>
      <c r="E45" s="16" t="n"/>
      <c r="F45" s="16" t="n"/>
      <c r="G45" s="30" t="n"/>
      <c r="H45" s="16" t="n"/>
      <c r="I45" s="16" t="n"/>
      <c r="J45" s="31" t="n"/>
      <c r="K45" s="31" t="n"/>
      <c r="L45" s="16" t="n"/>
      <c r="M45" s="31">
        <f>M44-J45</f>
        <v/>
      </c>
      <c r="N45" s="47" t="n"/>
      <c r="O45" s="41">
        <f>'(필수)설정 시트'!E45</f>
        <v/>
      </c>
      <c r="Q45" s="42">
        <f>SUM(Q39:Q44)</f>
        <v/>
      </c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16" t="n"/>
      <c r="B46" s="16" t="n"/>
      <c r="C46" s="16" t="n"/>
      <c r="D46" s="16" t="n"/>
      <c r="E46" s="16" t="n"/>
      <c r="F46" s="16" t="n"/>
      <c r="G46" s="30" t="n"/>
      <c r="H46" s="16" t="n"/>
      <c r="I46" s="16" t="n"/>
      <c r="J46" s="31" t="n"/>
      <c r="K46" s="31" t="n"/>
      <c r="L46" s="16" t="n"/>
      <c r="M46" s="31">
        <f>M45-J46</f>
        <v/>
      </c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16" t="n"/>
      <c r="B47" s="16" t="n"/>
      <c r="C47" s="16" t="n"/>
      <c r="D47" s="16" t="n"/>
      <c r="E47" s="16" t="n"/>
      <c r="F47" s="16" t="n"/>
      <c r="G47" s="30" t="n"/>
      <c r="H47" s="16" t="n"/>
      <c r="I47" s="16" t="n"/>
      <c r="J47" s="31" t="n"/>
      <c r="K47" s="31" t="n"/>
      <c r="L47" s="16" t="n"/>
      <c r="M47" s="31">
        <f>M46-J47</f>
        <v/>
      </c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16" t="n"/>
      <c r="B48" s="16" t="n"/>
      <c r="C48" s="16" t="n"/>
      <c r="D48" s="16" t="n"/>
      <c r="E48" s="16" t="n"/>
      <c r="F48" s="16" t="n"/>
      <c r="G48" s="30" t="n"/>
      <c r="H48" s="16" t="n"/>
      <c r="I48" s="16" t="n"/>
      <c r="J48" s="31" t="n"/>
      <c r="K48" s="31" t="n"/>
      <c r="L48" s="16" t="n"/>
      <c r="M48" s="31">
        <f>M47-J48</f>
        <v/>
      </c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16" t="n"/>
      <c r="B49" s="16" t="n"/>
      <c r="C49" s="16" t="n"/>
      <c r="D49" s="16" t="n"/>
      <c r="E49" s="16" t="n"/>
      <c r="F49" s="16" t="n"/>
      <c r="G49" s="30" t="n"/>
      <c r="H49" s="16" t="n"/>
      <c r="I49" s="16" t="n"/>
      <c r="J49" s="31" t="n"/>
      <c r="K49" s="31" t="n"/>
      <c r="L49" s="16" t="n"/>
      <c r="M49" s="31">
        <f>M48-J49</f>
        <v/>
      </c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16" t="n"/>
      <c r="B50" s="16" t="n"/>
      <c r="C50" s="16" t="n"/>
      <c r="D50" s="16" t="n"/>
      <c r="E50" s="16" t="n"/>
      <c r="F50" s="16" t="n"/>
      <c r="G50" s="30" t="n"/>
      <c r="H50" s="16" t="n"/>
      <c r="I50" s="16" t="n"/>
      <c r="J50" s="31" t="n"/>
      <c r="K50" s="31" t="n"/>
      <c r="L50" s="16" t="n"/>
      <c r="M50" s="31">
        <f>M49-J50</f>
        <v/>
      </c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G51" s="30" t="n"/>
      <c r="H51" s="16" t="n"/>
      <c r="I51" s="16" t="n"/>
      <c r="J51" s="31" t="n"/>
      <c r="K51" s="31" t="n"/>
      <c r="L51" s="16" t="n"/>
      <c r="M51" s="31">
        <f>M50-J51</f>
        <v/>
      </c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16" t="n"/>
      <c r="B52" s="16" t="n"/>
      <c r="C52" s="16" t="n"/>
      <c r="D52" s="16" t="n"/>
      <c r="E52" s="16" t="n"/>
      <c r="F52" s="16" t="n"/>
      <c r="G52" s="30" t="n"/>
      <c r="H52" s="16" t="n"/>
      <c r="I52" s="16" t="n"/>
      <c r="J52" s="31" t="n"/>
      <c r="K52" s="31" t="n"/>
      <c r="L52" s="16" t="n"/>
      <c r="M52" s="31">
        <f>M51-J52</f>
        <v/>
      </c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16" t="n"/>
      <c r="B53" s="16" t="n"/>
      <c r="C53" s="16" t="n"/>
      <c r="D53" s="16" t="n"/>
      <c r="E53" s="16" t="n"/>
      <c r="F53" s="16" t="n"/>
      <c r="G53" s="30" t="n"/>
      <c r="H53" s="16" t="n"/>
      <c r="I53" s="16" t="n"/>
      <c r="J53" s="31" t="n"/>
      <c r="K53" s="31" t="n"/>
      <c r="L53" s="16" t="n"/>
      <c r="M53" s="31">
        <f>M52-J53</f>
        <v/>
      </c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16" t="n"/>
      <c r="B54" s="16" t="n"/>
      <c r="C54" s="16" t="n"/>
      <c r="D54" s="16" t="n"/>
      <c r="E54" s="16" t="n"/>
      <c r="F54" s="16" t="n"/>
      <c r="G54" s="30" t="n"/>
      <c r="H54" s="16" t="n"/>
      <c r="I54" s="16" t="n"/>
      <c r="J54" s="31" t="n"/>
      <c r="K54" s="31" t="n"/>
      <c r="L54" s="16" t="n"/>
      <c r="M54" s="31">
        <f>M53-J54</f>
        <v/>
      </c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16" t="n"/>
      <c r="B55" s="16" t="n"/>
      <c r="C55" s="16" t="n"/>
      <c r="D55" s="16" t="n"/>
      <c r="E55" s="16" t="n"/>
      <c r="F55" s="16" t="n"/>
      <c r="G55" s="30" t="n"/>
      <c r="H55" s="16" t="n"/>
      <c r="I55" s="16" t="n"/>
      <c r="J55" s="31" t="n"/>
      <c r="K55" s="31" t="n"/>
      <c r="L55" s="16" t="n"/>
      <c r="M55" s="31">
        <f>M54-J55</f>
        <v/>
      </c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16" t="n"/>
      <c r="B56" s="16" t="n"/>
      <c r="C56" s="16" t="n"/>
      <c r="D56" s="16" t="n"/>
      <c r="E56" s="16" t="n"/>
      <c r="F56" s="16" t="n"/>
      <c r="G56" s="30" t="n"/>
      <c r="H56" s="16" t="n"/>
      <c r="I56" s="16" t="n"/>
      <c r="J56" s="31" t="n"/>
      <c r="K56" s="31" t="n"/>
      <c r="L56" s="16" t="n"/>
      <c r="M56" s="31">
        <f>M55-J56</f>
        <v/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</row>
  </sheetData>
  <mergeCells count="71">
    <mergeCell ref="L2:M2"/>
    <mergeCell ref="S35:S40"/>
    <mergeCell ref="Y13:Y15"/>
    <mergeCell ref="S13:S19"/>
    <mergeCell ref="B13:B19"/>
    <mergeCell ref="S12:T12"/>
    <mergeCell ref="B21:B33"/>
    <mergeCell ref="O39:O44"/>
    <mergeCell ref="X7:X8"/>
    <mergeCell ref="AB13:AB15"/>
    <mergeCell ref="Z7:Z8"/>
    <mergeCell ref="H4:I4"/>
    <mergeCell ref="S21:S26"/>
    <mergeCell ref="W20:W21"/>
    <mergeCell ref="S27:T27"/>
    <mergeCell ref="O45:P45"/>
    <mergeCell ref="Y20:Y21"/>
    <mergeCell ref="AA20:AA21"/>
    <mergeCell ref="B34:D34"/>
    <mergeCell ref="O6:O15"/>
    <mergeCell ref="Y10:Y11"/>
    <mergeCell ref="AC20:AC21"/>
    <mergeCell ref="Z13:Z15"/>
    <mergeCell ref="W7:W8"/>
    <mergeCell ref="D1:D3"/>
    <mergeCell ref="F3:G3"/>
    <mergeCell ref="L3:M3"/>
    <mergeCell ref="Y17:Y18"/>
    <mergeCell ref="Z17:Z18"/>
    <mergeCell ref="Y7:Y8"/>
    <mergeCell ref="AB17:AB18"/>
    <mergeCell ref="AC10:AC11"/>
    <mergeCell ref="AA7:AA8"/>
    <mergeCell ref="AB7:AB8"/>
    <mergeCell ref="O31:P31"/>
    <mergeCell ref="X20:X21"/>
    <mergeCell ref="Z20:Z21"/>
    <mergeCell ref="B20:D20"/>
    <mergeCell ref="O32:O37"/>
    <mergeCell ref="X10:X11"/>
    <mergeCell ref="O16:P16"/>
    <mergeCell ref="Z10:Z11"/>
    <mergeCell ref="F2:G2"/>
    <mergeCell ref="AA13:AA15"/>
    <mergeCell ref="H2:I2"/>
    <mergeCell ref="S28:S33"/>
    <mergeCell ref="AC13:AC15"/>
    <mergeCell ref="S34:T34"/>
    <mergeCell ref="W17:W18"/>
    <mergeCell ref="S6:S11"/>
    <mergeCell ref="AB10:AB11"/>
    <mergeCell ref="H3:I3"/>
    <mergeCell ref="W10:W11"/>
    <mergeCell ref="J3:K3"/>
    <mergeCell ref="X13:X15"/>
    <mergeCell ref="B2:C3"/>
    <mergeCell ref="AA17:AA18"/>
    <mergeCell ref="O17:O22"/>
    <mergeCell ref="AC17:AC18"/>
    <mergeCell ref="S20:T20"/>
    <mergeCell ref="J2:K2"/>
    <mergeCell ref="O23:P23"/>
    <mergeCell ref="O38:P38"/>
    <mergeCell ref="D38:E38"/>
    <mergeCell ref="O24:O30"/>
    <mergeCell ref="X17:X18"/>
    <mergeCell ref="AC7:AC8"/>
    <mergeCell ref="S41:T41"/>
    <mergeCell ref="W13:W15"/>
    <mergeCell ref="AB20:AB21"/>
    <mergeCell ref="AA10:AA11"/>
  </mergeCells>
  <conditionalFormatting sqref="C9 C11">
    <cfRule type="expression" priority="1" dxfId="0">
      <formula>C9&lt;0.7</formula>
    </cfRule>
    <cfRule type="expression" priority="2" dxfId="1">
      <formula>C9&gt;=0.7</formula>
    </cfRule>
  </conditionalFormatting>
  <dataValidations count="2">
    <dataValidation sqref="I6:I56" showDropDown="0" showInputMessage="0" showErrorMessage="1" allowBlank="1" type="list">
      <formula1>"📱통신비,🚍교통비,📺스트리밍 서비스,🎵멜론,🛡️보험료,🏠생활비,💬카카오이모티콘,🏡주택청약,💰적금,🚇지하철비,⛽주유비,🚕택시비,🅿️주차비,☕간식/카페,🍽️외식,🍱식재료비,🌅아침,🍛점심,🌙저녁,🛵배달,🎓강의,🪪자격증,📚도서,🤖AI,🎭문화생활,✈️여행,🎨취미활동,👕의류,💇미용,💬잡화,👨‍👩‍👧가족,💑데이트,🎁선물,👥모임,🧑‍🤝‍🧑지인,🧧명절,🏥병원,💊약국,💊영양제,💸축의금,🖤부의금,미"&amp;"지정"</formula1>
    </dataValidation>
    <dataValidation sqref="H6:H56" showDropDown="0" showInputMessage="0" showErrorMessage="1" allowBlank="1" type="list">
      <formula1>"고정비,교통비,식비,자기개발,여가,품위유지비,관계비,이벤트비,의료비,경조사비,미지정"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.38" customWidth="1" style="102" min="1" max="1"/>
    <col width="3.88" customWidth="1" style="102" min="4" max="4"/>
    <col width="15.88" customWidth="1" style="102" min="6" max="6"/>
    <col width="14.88" customWidth="1" style="102" min="8" max="8"/>
    <col width="14.25" customWidth="1" style="102" min="9" max="9"/>
    <col width="14.88" customWidth="1" style="102" min="10" max="11"/>
    <col width="19.38" customWidth="1" style="102" min="13" max="13"/>
    <col width="26" customWidth="1" style="102" min="14" max="14"/>
    <col width="29" customWidth="1" style="102" min="15" max="15"/>
  </cols>
  <sheetData>
    <row r="1">
      <c r="A1" s="16" t="n"/>
      <c r="B1" s="16" t="n"/>
      <c r="C1" s="16" t="n"/>
      <c r="D1" s="16" t="n"/>
      <c r="E1" s="16" t="n"/>
      <c r="F1" s="16" t="n"/>
      <c r="G1" s="19" t="inlineStr">
        <is>
          <t>업데이트 날짜</t>
        </is>
      </c>
      <c r="H1" s="57" t="inlineStr">
        <is>
          <t>20260318</t>
        </is>
      </c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6" t="n"/>
      <c r="B2" s="58" t="n">
        <v>2026</v>
      </c>
      <c r="D2" s="16" t="n"/>
      <c r="E2" s="16" t="n"/>
      <c r="F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16" t="n"/>
      <c r="B4" s="16" t="n"/>
      <c r="C4" s="16" t="n"/>
      <c r="D4" s="16" t="n"/>
      <c r="E4" s="111" t="inlineStr">
        <is>
          <t>저축</t>
        </is>
      </c>
      <c r="F4" s="28" t="inlineStr">
        <is>
          <t>상품명</t>
        </is>
      </c>
      <c r="G4" s="28" t="inlineStr">
        <is>
          <t>상태</t>
        </is>
      </c>
      <c r="H4" s="28" t="inlineStr">
        <is>
          <t>연 적용 금리</t>
        </is>
      </c>
      <c r="I4" s="28" t="inlineStr">
        <is>
          <t>은행</t>
        </is>
      </c>
      <c r="J4" s="28" t="inlineStr">
        <is>
          <t>가입일</t>
        </is>
      </c>
      <c r="K4" s="28" t="inlineStr">
        <is>
          <t>만기일</t>
        </is>
      </c>
      <c r="L4" s="28" t="inlineStr">
        <is>
          <t>1개월 금액</t>
        </is>
      </c>
      <c r="M4" s="28" t="inlineStr">
        <is>
          <t>납입 개월</t>
        </is>
      </c>
      <c r="N4" s="28" t="inlineStr">
        <is>
          <t>현재 금액</t>
        </is>
      </c>
      <c r="O4" s="28" t="inlineStr">
        <is>
          <t>비고</t>
        </is>
      </c>
      <c r="R4" s="68" t="n"/>
      <c r="S4" s="68" t="n"/>
      <c r="T4" s="68" t="n"/>
      <c r="U4" s="68" t="n"/>
      <c r="V4" s="16" t="n"/>
      <c r="W4" s="16" t="n"/>
      <c r="X4" s="16" t="n"/>
      <c r="Y4" s="16" t="n"/>
      <c r="Z4" s="16" t="n"/>
    </row>
    <row r="5">
      <c r="A5" s="16" t="n"/>
      <c r="B5" s="16" t="n"/>
      <c r="C5" s="16" t="n"/>
      <c r="D5" s="16" t="n"/>
      <c r="E5" s="112" t="n"/>
      <c r="F5" s="16" t="n"/>
      <c r="G5" s="69" t="n"/>
      <c r="H5" s="62" t="n"/>
      <c r="I5" s="16" t="n"/>
      <c r="J5" s="63" t="n"/>
      <c r="K5" s="64" t="n"/>
      <c r="L5" s="65" t="n">
        <v>0</v>
      </c>
      <c r="M5" s="66" t="n">
        <v>0</v>
      </c>
      <c r="N5" s="67">
        <f>SUM(L5*M5)</f>
        <v/>
      </c>
      <c r="O5" s="68" t="n"/>
      <c r="R5" s="68" t="n"/>
      <c r="S5" s="68" t="n"/>
      <c r="T5" s="68" t="n"/>
      <c r="U5" s="68" t="n"/>
      <c r="V5" s="16" t="n"/>
      <c r="W5" s="16" t="n"/>
      <c r="X5" s="16" t="n"/>
      <c r="Y5" s="16" t="n"/>
      <c r="Z5" s="16" t="n"/>
    </row>
    <row r="6">
      <c r="A6" s="16" t="n"/>
      <c r="B6" s="16" t="n"/>
      <c r="C6" s="16" t="n"/>
      <c r="D6" s="16" t="n"/>
      <c r="E6" s="112" t="n"/>
      <c r="F6" s="16" t="n"/>
      <c r="G6" s="69" t="n"/>
      <c r="H6" s="70" t="n"/>
      <c r="I6" s="16" t="n"/>
      <c r="J6" s="63" t="n"/>
      <c r="K6" s="71" t="n"/>
      <c r="L6" s="65" t="n">
        <v>0</v>
      </c>
      <c r="M6" s="66" t="n">
        <v>0</v>
      </c>
      <c r="N6" s="67">
        <f>SUM(L6*M6)</f>
        <v/>
      </c>
      <c r="O6" s="68" t="n"/>
      <c r="R6" s="68" t="n"/>
      <c r="S6" s="68" t="n"/>
      <c r="T6" s="68" t="n"/>
      <c r="U6" s="68" t="n"/>
      <c r="V6" s="16" t="n"/>
      <c r="W6" s="16" t="n"/>
      <c r="X6" s="16" t="n"/>
      <c r="Y6" s="16" t="n"/>
      <c r="Z6" s="16" t="n"/>
    </row>
    <row r="7">
      <c r="A7" s="16" t="n"/>
      <c r="B7" s="16" t="n"/>
      <c r="C7" s="16" t="n"/>
      <c r="D7" s="16" t="n"/>
      <c r="E7" s="112" t="n"/>
      <c r="F7" s="16" t="n"/>
      <c r="G7" s="69" t="n"/>
      <c r="H7" s="16" t="n"/>
      <c r="I7" s="16" t="n"/>
      <c r="J7" s="63" t="n"/>
      <c r="K7" s="63" t="n"/>
      <c r="L7" s="65" t="n">
        <v>0</v>
      </c>
      <c r="M7" s="66" t="n">
        <v>0</v>
      </c>
      <c r="N7" s="67">
        <f>SUM(L7*M7)</f>
        <v/>
      </c>
      <c r="O7" s="68" t="n"/>
      <c r="R7" s="68" t="n"/>
      <c r="S7" s="68" t="n"/>
      <c r="T7" s="68" t="n"/>
      <c r="U7" s="68" t="n"/>
      <c r="V7" s="16" t="n"/>
      <c r="W7" s="16" t="n"/>
      <c r="X7" s="16" t="n"/>
      <c r="Y7" s="16" t="n"/>
      <c r="Z7" s="16" t="n"/>
    </row>
    <row r="8">
      <c r="A8" s="16" t="n"/>
      <c r="B8" s="16" t="n"/>
      <c r="C8" s="16" t="n"/>
      <c r="D8" s="16" t="n"/>
      <c r="E8" s="112" t="n"/>
      <c r="F8" s="16" t="n"/>
      <c r="G8" s="69" t="n"/>
      <c r="H8" s="16" t="n"/>
      <c r="I8" s="16" t="n"/>
      <c r="J8" s="63" t="n"/>
      <c r="K8" s="63" t="n"/>
      <c r="L8" s="65" t="n">
        <v>0</v>
      </c>
      <c r="M8" s="66" t="n">
        <v>0</v>
      </c>
      <c r="N8" s="67">
        <f>SUM(L8*M8)</f>
        <v/>
      </c>
      <c r="O8" s="68" t="n"/>
      <c r="R8" s="68" t="n"/>
      <c r="S8" s="68" t="n"/>
      <c r="T8" s="68" t="n"/>
      <c r="U8" s="68" t="n"/>
      <c r="V8" s="16" t="n"/>
      <c r="W8" s="16" t="n"/>
      <c r="X8" s="16" t="n"/>
      <c r="Y8" s="16" t="n"/>
      <c r="Z8" s="16" t="n"/>
    </row>
    <row r="9">
      <c r="A9" s="16" t="n"/>
      <c r="B9" s="16" t="n"/>
      <c r="C9" s="16" t="n"/>
      <c r="D9" s="16" t="n"/>
      <c r="E9" s="112" t="n"/>
      <c r="F9" s="16" t="n"/>
      <c r="G9" s="69" t="n"/>
      <c r="H9" s="16" t="n"/>
      <c r="I9" s="16" t="n"/>
      <c r="J9" s="63" t="n"/>
      <c r="K9" s="63" t="n"/>
      <c r="L9" s="65" t="n">
        <v>0</v>
      </c>
      <c r="M9" s="66" t="n">
        <v>0</v>
      </c>
      <c r="N9" s="67">
        <f>SUM(L9*M9)</f>
        <v/>
      </c>
      <c r="O9" s="68" t="n"/>
      <c r="R9" s="68" t="n"/>
      <c r="S9" s="68" t="n"/>
      <c r="T9" s="68" t="n"/>
      <c r="U9" s="68" t="n"/>
      <c r="V9" s="16" t="n"/>
      <c r="W9" s="16" t="n"/>
      <c r="X9" s="16" t="n"/>
      <c r="Y9" s="16" t="n"/>
      <c r="Z9" s="16" t="n"/>
    </row>
    <row r="10">
      <c r="A10" s="16" t="n"/>
      <c r="B10" s="16" t="n"/>
      <c r="C10" s="16" t="n"/>
      <c r="D10" s="16" t="n"/>
      <c r="E10" s="112" t="n"/>
      <c r="F10" s="16" t="n"/>
      <c r="G10" s="69" t="n"/>
      <c r="H10" s="16" t="n"/>
      <c r="I10" s="16" t="n"/>
      <c r="J10" s="63" t="n"/>
      <c r="K10" s="63" t="n"/>
      <c r="L10" s="65" t="n">
        <v>0</v>
      </c>
      <c r="M10" s="66" t="n">
        <v>0</v>
      </c>
      <c r="N10" s="67">
        <f>SUM(L10*M10)</f>
        <v/>
      </c>
      <c r="O10" s="68" t="n"/>
      <c r="R10" s="68" t="n"/>
      <c r="S10" s="68" t="n"/>
      <c r="T10" s="68" t="n"/>
      <c r="U10" s="68" t="n"/>
      <c r="V10" s="16" t="n"/>
      <c r="W10" s="16" t="n"/>
      <c r="X10" s="16" t="n"/>
      <c r="Y10" s="16" t="n"/>
      <c r="Z10" s="16" t="n"/>
    </row>
    <row r="11">
      <c r="A11" s="16" t="n"/>
      <c r="B11" s="72" t="inlineStr">
        <is>
          <t>신용</t>
        </is>
      </c>
      <c r="C11" s="73" t="inlineStr">
        <is>
          <t>체크</t>
        </is>
      </c>
      <c r="D11" s="16" t="n"/>
      <c r="E11" s="112" t="n"/>
      <c r="F11" s="16" t="n"/>
      <c r="G11" s="69" t="n"/>
      <c r="H11" s="16" t="n"/>
      <c r="I11" s="16" t="n"/>
      <c r="J11" s="63" t="n"/>
      <c r="K11" s="63" t="n"/>
      <c r="L11" s="65" t="n">
        <v>0</v>
      </c>
      <c r="M11" s="66" t="n">
        <v>0</v>
      </c>
      <c r="N11" s="67">
        <f>SUM(L11*M11)</f>
        <v/>
      </c>
      <c r="O11" s="68" t="n"/>
      <c r="R11" s="68" t="n"/>
      <c r="S11" s="68" t="n"/>
      <c r="T11" s="68" t="n"/>
      <c r="U11" s="68" t="n"/>
      <c r="V11" s="16" t="n"/>
      <c r="W11" s="16" t="n"/>
      <c r="X11" s="16" t="n"/>
      <c r="Y11" s="16" t="n"/>
      <c r="Z11" s="16" t="n"/>
    </row>
    <row r="12">
      <c r="A12" s="16" t="n"/>
      <c r="B12" s="74" t="n"/>
      <c r="C12" s="74" t="n"/>
      <c r="D12" s="16" t="n"/>
      <c r="E12" s="112" t="n"/>
      <c r="F12" s="16" t="n"/>
      <c r="G12" s="69" t="n"/>
      <c r="H12" s="16" t="n"/>
      <c r="I12" s="16" t="n"/>
      <c r="J12" s="63" t="n"/>
      <c r="K12" s="63" t="n"/>
      <c r="L12" s="65" t="n">
        <v>0</v>
      </c>
      <c r="M12" s="66" t="n">
        <v>0</v>
      </c>
      <c r="N12" s="67">
        <f>SUM(L12*M12)</f>
        <v/>
      </c>
      <c r="O12" s="68" t="n"/>
      <c r="R12" s="68" t="n"/>
      <c r="S12" s="68" t="n"/>
      <c r="T12" s="68" t="n"/>
      <c r="U12" s="68" t="n"/>
      <c r="V12" s="16" t="n"/>
      <c r="W12" s="16" t="n"/>
      <c r="X12" s="16" t="n"/>
      <c r="Y12" s="16" t="n"/>
      <c r="Z12" s="16" t="n"/>
    </row>
    <row r="13">
      <c r="A13" s="16" t="n"/>
      <c r="B13" s="75" t="n"/>
      <c r="C13" s="74" t="n"/>
      <c r="D13" s="16" t="n"/>
      <c r="E13" s="112" t="n"/>
      <c r="F13" s="16" t="n"/>
      <c r="G13" s="69" t="n"/>
      <c r="H13" s="16" t="n"/>
      <c r="I13" s="16" t="n"/>
      <c r="J13" s="63" t="n"/>
      <c r="K13" s="63" t="n"/>
      <c r="L13" s="65" t="n">
        <v>0</v>
      </c>
      <c r="M13" s="66" t="n">
        <v>0</v>
      </c>
      <c r="N13" s="67">
        <f>SUM(L13*M13)</f>
        <v/>
      </c>
      <c r="O13" s="68" t="n"/>
      <c r="R13" s="68" t="n"/>
      <c r="S13" s="68" t="n"/>
      <c r="T13" s="68" t="n"/>
      <c r="U13" s="68" t="n"/>
      <c r="V13" s="16" t="n"/>
      <c r="W13" s="16" t="n"/>
      <c r="X13" s="16" t="n"/>
      <c r="Y13" s="16" t="n"/>
      <c r="Z13" s="16" t="n"/>
    </row>
    <row r="14">
      <c r="A14" s="16" t="n"/>
      <c r="B14" s="75" t="n"/>
      <c r="C14" s="76" t="n"/>
      <c r="D14" s="16" t="n"/>
      <c r="E14" s="112" t="n"/>
      <c r="F14" s="16" t="n"/>
      <c r="G14" s="69" t="n"/>
      <c r="H14" s="16" t="n"/>
      <c r="I14" s="16" t="n"/>
      <c r="J14" s="63" t="n"/>
      <c r="K14" s="63" t="n"/>
      <c r="L14" s="65" t="n">
        <v>0</v>
      </c>
      <c r="M14" s="66" t="n">
        <v>0</v>
      </c>
      <c r="N14" s="67">
        <f>SUM(L14*M14)</f>
        <v/>
      </c>
      <c r="O14" s="68" t="n"/>
      <c r="R14" s="68" t="n"/>
      <c r="S14" s="68" t="n"/>
      <c r="T14" s="68" t="n"/>
      <c r="U14" s="68" t="n"/>
      <c r="V14" s="16" t="n"/>
      <c r="W14" s="16" t="n"/>
      <c r="X14" s="16" t="n"/>
      <c r="Y14" s="16" t="n"/>
      <c r="Z14" s="16" t="n"/>
    </row>
    <row r="15">
      <c r="A15" s="16" t="n"/>
      <c r="B15" s="75" t="n"/>
      <c r="C15" s="76" t="n"/>
      <c r="D15" s="16" t="n"/>
      <c r="E15" s="112" t="n"/>
      <c r="F15" s="16" t="n"/>
      <c r="G15" s="69" t="n"/>
      <c r="H15" s="16" t="n"/>
      <c r="I15" s="16" t="n"/>
      <c r="J15" s="63" t="n"/>
      <c r="K15" s="63" t="n"/>
      <c r="L15" s="65" t="n">
        <v>0</v>
      </c>
      <c r="M15" s="66" t="n">
        <v>0</v>
      </c>
      <c r="N15" s="67">
        <f>SUM(L15*M15)</f>
        <v/>
      </c>
      <c r="O15" s="68" t="n"/>
      <c r="R15" s="68" t="n"/>
      <c r="S15" s="68" t="n"/>
      <c r="T15" s="68" t="n"/>
      <c r="U15" s="68" t="n"/>
      <c r="V15" s="16" t="n"/>
      <c r="W15" s="16" t="n"/>
      <c r="X15" s="16" t="n"/>
      <c r="Y15" s="16" t="n"/>
      <c r="Z15" s="16" t="n"/>
    </row>
    <row r="16">
      <c r="A16" s="16" t="n"/>
      <c r="B16" s="77" t="n"/>
      <c r="C16" s="78" t="n"/>
      <c r="D16" s="16" t="n"/>
      <c r="E16" s="113" t="n"/>
      <c r="F16" s="16" t="n"/>
      <c r="G16" s="69" t="n"/>
      <c r="H16" s="16" t="n"/>
      <c r="I16" s="16" t="n"/>
      <c r="J16" s="63" t="n"/>
      <c r="K16" s="63" t="n"/>
      <c r="L16" s="65" t="n">
        <v>0</v>
      </c>
      <c r="M16" s="66" t="n">
        <v>0</v>
      </c>
      <c r="N16" s="67">
        <f>SUM(L16*M16)</f>
        <v/>
      </c>
      <c r="O16" s="68" t="n"/>
      <c r="R16" s="68" t="n"/>
      <c r="S16" s="68" t="n"/>
      <c r="T16" s="68" t="n"/>
      <c r="U16" s="68" t="n"/>
      <c r="V16" s="16" t="n"/>
      <c r="W16" s="16" t="n"/>
      <c r="X16" s="16" t="n"/>
      <c r="Y16" s="16" t="n"/>
      <c r="Z16" s="16" t="n"/>
    </row>
    <row r="17">
      <c r="A17" s="16" t="n"/>
      <c r="B17" s="80" t="n"/>
      <c r="C17" s="81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16" t="n"/>
      <c r="B18" s="82" t="n"/>
      <c r="C18" s="74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P18" s="16" t="n"/>
      <c r="Q18" s="86" t="n"/>
      <c r="R18" s="87" t="n"/>
      <c r="S18" s="8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6" t="n"/>
      <c r="B19" s="82" t="n"/>
      <c r="C19" s="76" t="n"/>
      <c r="D19" s="16" t="n"/>
      <c r="E19" s="16" t="n"/>
      <c r="F19" s="16" t="n"/>
      <c r="G19" s="16" t="inlineStr">
        <is>
          <t>금융포털</t>
        </is>
      </c>
      <c r="H19" s="16" t="inlineStr">
        <is>
          <t>파인</t>
        </is>
      </c>
      <c r="I19" s="16" t="inlineStr">
        <is>
          <t>조회일자</t>
        </is>
      </c>
      <c r="J19" s="85">
        <f>H1</f>
        <v/>
      </c>
      <c r="L19" s="16" t="n"/>
      <c r="M19" s="86" t="n"/>
      <c r="N19" s="87" t="n"/>
      <c r="O19" s="86" t="n"/>
      <c r="P19" s="16" t="n"/>
      <c r="Q19" s="86" t="n"/>
      <c r="R19" s="87" t="n"/>
      <c r="S19" s="8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6" t="n"/>
      <c r="B20" s="82" t="n"/>
      <c r="C20" s="76" t="n"/>
      <c r="D20" s="16" t="n"/>
      <c r="E20" s="16" t="n"/>
      <c r="F20" s="16" t="n"/>
      <c r="L20" s="16" t="n"/>
      <c r="M20" s="16" t="n"/>
      <c r="N20" s="16" t="n"/>
      <c r="O20" s="16" t="n"/>
      <c r="P20" s="16" t="n"/>
      <c r="Q20" s="86" t="n"/>
      <c r="R20" s="87" t="n"/>
      <c r="S20" s="8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16" t="n"/>
      <c r="B21" s="88" t="n"/>
      <c r="C21" s="78" t="n"/>
      <c r="D21" s="16" t="n"/>
      <c r="E21" s="19" t="inlineStr">
        <is>
          <t>1 금융권</t>
        </is>
      </c>
      <c r="F21" s="28" t="inlineStr">
        <is>
          <t>계좌</t>
        </is>
      </c>
      <c r="G21" s="28" t="inlineStr">
        <is>
          <t>용도</t>
        </is>
      </c>
      <c r="H21" s="28" t="inlineStr">
        <is>
          <t>자산</t>
        </is>
      </c>
      <c r="I21" s="28" t="inlineStr">
        <is>
          <t>계좌</t>
        </is>
      </c>
      <c r="J21" s="28" t="inlineStr">
        <is>
          <t>용도</t>
        </is>
      </c>
      <c r="K21" s="28" t="inlineStr">
        <is>
          <t>자산</t>
        </is>
      </c>
      <c r="L21" s="16" t="n"/>
      <c r="M21" s="89" t="n"/>
      <c r="N21" s="89" t="n"/>
      <c r="O21" s="89" t="n"/>
      <c r="P21" s="16" t="n"/>
      <c r="Q21" s="86" t="n"/>
      <c r="R21" s="87" t="n"/>
      <c r="S21" s="8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16" t="n"/>
      <c r="B22" s="16" t="n"/>
      <c r="C22" s="16" t="n"/>
      <c r="D22" s="16" t="n"/>
      <c r="F22" s="16" t="n"/>
      <c r="G22" s="16" t="n"/>
      <c r="H22" s="21" t="n"/>
      <c r="I22" s="19" t="n"/>
      <c r="J22" s="68" t="n"/>
      <c r="K22" s="21" t="n"/>
      <c r="L22" s="16" t="n"/>
      <c r="M22" s="90" t="n"/>
      <c r="N22" s="90" t="n"/>
      <c r="O22" s="90" t="n"/>
      <c r="P22" s="86" t="n"/>
      <c r="Q22" s="86" t="n"/>
      <c r="R22" s="87" t="n"/>
      <c r="S22" s="8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16" t="n"/>
      <c r="B23" s="114" t="inlineStr">
        <is>
          <t>수입</t>
        </is>
      </c>
      <c r="C23" s="73" t="inlineStr">
        <is>
          <t>내용</t>
        </is>
      </c>
      <c r="D23" s="16" t="n"/>
      <c r="F23" s="16" t="n"/>
      <c r="G23" s="16" t="n"/>
      <c r="H23" s="21" t="n"/>
      <c r="I23" s="19" t="n"/>
      <c r="J23" s="16" t="n"/>
      <c r="K23" s="21" t="n"/>
      <c r="L23" s="16" t="n"/>
      <c r="M23" s="16" t="n"/>
      <c r="N23" s="16" t="n"/>
      <c r="O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16" t="n"/>
      <c r="B24" s="106" t="n"/>
      <c r="C24" s="74" t="inlineStr">
        <is>
          <t>월급</t>
        </is>
      </c>
      <c r="D24" s="16" t="n"/>
      <c r="F24" s="16" t="n"/>
      <c r="G24" s="16" t="n"/>
      <c r="H24" s="21" t="n"/>
      <c r="I24" s="16" t="n"/>
      <c r="J24" s="16" t="n"/>
      <c r="K24" s="21" t="n">
        <v>0</v>
      </c>
      <c r="L24" s="21" t="n"/>
      <c r="M24" s="92" t="n"/>
      <c r="N24" s="93" t="n"/>
      <c r="O24" s="93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16" t="n"/>
      <c r="B25" s="106" t="n"/>
      <c r="C25" s="74" t="inlineStr">
        <is>
          <t>상여급</t>
        </is>
      </c>
      <c r="D25" s="16" t="n"/>
      <c r="F25" s="16" t="n"/>
      <c r="G25" s="16" t="n"/>
      <c r="H25" s="21" t="n"/>
      <c r="I25" s="16" t="n"/>
      <c r="K25" s="21" t="n">
        <v>0</v>
      </c>
      <c r="M25" s="92" t="n"/>
      <c r="N25" s="90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16" t="n"/>
      <c r="B26" s="106" t="n"/>
      <c r="C26" s="74" t="inlineStr">
        <is>
          <t>금융소득</t>
        </is>
      </c>
      <c r="D26" s="16" t="n"/>
      <c r="F26" s="16" t="n"/>
      <c r="G26" s="16" t="n"/>
      <c r="H26" s="21" t="n"/>
      <c r="I26" s="16" t="n"/>
      <c r="K26" s="21" t="n">
        <v>0</v>
      </c>
      <c r="M26" s="92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16" t="n"/>
      <c r="B27" s="106" t="n"/>
      <c r="C27" s="74" t="inlineStr">
        <is>
          <t>부수입</t>
        </is>
      </c>
      <c r="D27" s="16" t="n"/>
      <c r="F27" s="16" t="n"/>
      <c r="G27" s="16" t="n"/>
      <c r="H27" s="21" t="n"/>
      <c r="I27" s="16" t="n"/>
      <c r="J27" s="16" t="n"/>
      <c r="K27" s="21" t="n">
        <v>0</v>
      </c>
      <c r="M27" s="92" t="n"/>
      <c r="N27" s="93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16" t="n"/>
      <c r="B28" s="108" t="n"/>
      <c r="C28" s="94" t="inlineStr">
        <is>
          <t>기타</t>
        </is>
      </c>
      <c r="D28" s="16" t="n"/>
      <c r="F28" s="16" t="n"/>
      <c r="G28" s="16" t="n"/>
      <c r="H28" s="21" t="n"/>
      <c r="I28" s="16" t="n"/>
      <c r="J28" s="16" t="n"/>
      <c r="K28" s="21" t="n">
        <v>0</v>
      </c>
      <c r="L28" s="16" t="n"/>
      <c r="M28" s="92" t="n"/>
      <c r="N28" s="90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6" t="n"/>
      <c r="B29" s="115" t="inlineStr">
        <is>
          <t>금융소득</t>
        </is>
      </c>
      <c r="C29" s="96" t="inlineStr">
        <is>
          <t>ISA [단타]</t>
        </is>
      </c>
      <c r="D29" s="16" t="n"/>
      <c r="F29" s="16" t="n"/>
      <c r="G29" s="16" t="n"/>
      <c r="H29" s="21" t="n"/>
      <c r="I29" s="16" t="n"/>
      <c r="J29" s="16" t="n"/>
      <c r="K29" s="21" t="n">
        <v>0</v>
      </c>
      <c r="L29" s="16" t="n"/>
      <c r="M29" s="92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16" t="n"/>
      <c r="B30" s="106" t="n"/>
      <c r="C30" s="97" t="inlineStr">
        <is>
          <t>일반[중장기]</t>
        </is>
      </c>
      <c r="D30" s="16" t="n"/>
      <c r="E30" s="19" t="n"/>
      <c r="F30" s="16" t="n"/>
      <c r="G30" s="16" t="n"/>
      <c r="H30" s="21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16" t="n"/>
      <c r="B31" s="106" t="n"/>
      <c r="C31" s="97" t="inlineStr">
        <is>
          <t>연금[etf]</t>
        </is>
      </c>
      <c r="D31" s="16" t="n"/>
      <c r="F31" s="16" t="n"/>
      <c r="G31" s="16" t="n"/>
      <c r="H31" s="21" t="n"/>
      <c r="P31" s="21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16" t="n"/>
      <c r="B32" s="106" t="n"/>
      <c r="C32" s="97" t="inlineStr">
        <is>
          <t>일반이자</t>
        </is>
      </c>
      <c r="D32" s="16" t="n"/>
      <c r="H32" s="21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>
      <c r="A33" s="16" t="n"/>
      <c r="B33" s="106" t="n"/>
      <c r="C33" s="97" t="inlineStr">
        <is>
          <t>만기적금/예금</t>
        </is>
      </c>
      <c r="D33" s="16" t="n"/>
      <c r="H33" s="21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>
      <c r="A34" s="16" t="n"/>
      <c r="B34" s="108" t="n"/>
      <c r="C34" s="78" t="n"/>
      <c r="D34" s="16" t="n"/>
      <c r="H34" s="21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16" t="n"/>
      <c r="B35" s="16" t="n"/>
      <c r="C35" s="16" t="n"/>
      <c r="D35" s="16" t="n"/>
      <c r="E35" s="98" t="n"/>
      <c r="F35" s="16" t="n"/>
      <c r="G35" s="16" t="n"/>
      <c r="H35" s="21" t="n"/>
      <c r="M35" s="16" t="n"/>
      <c r="N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16" t="n"/>
      <c r="C36" s="16" t="n"/>
      <c r="D36" s="16" t="n"/>
      <c r="H36" s="21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16" t="n"/>
      <c r="C37" s="16" t="n"/>
      <c r="D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16" t="n"/>
      <c r="C38" s="16" t="n"/>
      <c r="D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16" t="n"/>
      <c r="C39" s="16" t="n"/>
      <c r="D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16" t="n"/>
      <c r="C40" s="16" t="n"/>
      <c r="D40" s="16" t="n"/>
      <c r="E40" s="28" t="inlineStr">
        <is>
          <t>대분류</t>
        </is>
      </c>
      <c r="F40" s="99" t="inlineStr">
        <is>
          <t>소분류</t>
        </is>
      </c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16" t="n"/>
      <c r="C41" s="16" t="n"/>
      <c r="D41" s="16" t="n"/>
      <c r="E41" s="19" t="inlineStr">
        <is>
          <t>고정비</t>
        </is>
      </c>
      <c r="F41" s="16" t="inlineStr">
        <is>
          <t>통신비</t>
        </is>
      </c>
      <c r="G41" s="16" t="inlineStr">
        <is>
          <t>기후동행카드</t>
        </is>
      </c>
      <c r="H41" s="16" t="inlineStr">
        <is>
          <t>스트리밍 서비스</t>
        </is>
      </c>
      <c r="I41" s="16" t="inlineStr">
        <is>
          <t>멜론</t>
        </is>
      </c>
      <c r="J41" s="16" t="inlineStr">
        <is>
          <t>보험료</t>
        </is>
      </c>
      <c r="K41" s="16" t="inlineStr">
        <is>
          <t>생활비</t>
        </is>
      </c>
      <c r="L41" s="16" t="inlineStr">
        <is>
          <t>카카오이모티콘</t>
        </is>
      </c>
      <c r="M41" s="16" t="inlineStr">
        <is>
          <t>주택청약</t>
        </is>
      </c>
      <c r="N41" s="16" t="inlineStr">
        <is>
          <t>적금</t>
        </is>
      </c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16" t="n"/>
      <c r="B42" s="16" t="n"/>
      <c r="C42" s="16" t="n"/>
      <c r="D42" s="16" t="n"/>
      <c r="E42" s="19" t="inlineStr">
        <is>
          <t>교통비</t>
        </is>
      </c>
      <c r="F42" s="16" t="inlineStr">
        <is>
          <t>지하철비</t>
        </is>
      </c>
      <c r="G42" s="16" t="inlineStr">
        <is>
          <t>주유비</t>
        </is>
      </c>
      <c r="H42" s="16" t="inlineStr">
        <is>
          <t>택시비</t>
        </is>
      </c>
      <c r="I42" s="16" t="inlineStr">
        <is>
          <t>주차비</t>
        </is>
      </c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16" t="n"/>
      <c r="B43" s="16" t="n"/>
      <c r="C43" s="16" t="n"/>
      <c r="D43" s="16" t="n"/>
      <c r="E43" s="19" t="inlineStr">
        <is>
          <t>식비</t>
        </is>
      </c>
      <c r="F43" s="16" t="inlineStr">
        <is>
          <t>간식/카페</t>
        </is>
      </c>
      <c r="G43" s="16" t="inlineStr">
        <is>
          <t>외식</t>
        </is>
      </c>
      <c r="H43" s="16" t="inlineStr">
        <is>
          <t>식재료비</t>
        </is>
      </c>
      <c r="I43" s="16" t="inlineStr">
        <is>
          <t>아침</t>
        </is>
      </c>
      <c r="J43" s="16" t="inlineStr">
        <is>
          <t>점심</t>
        </is>
      </c>
      <c r="K43" s="16" t="inlineStr">
        <is>
          <t>저녁</t>
        </is>
      </c>
      <c r="L43" s="16" t="inlineStr">
        <is>
          <t>배달</t>
        </is>
      </c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>
      <c r="A44" s="16" t="n"/>
      <c r="B44" s="16" t="n"/>
      <c r="C44" s="16" t="n"/>
      <c r="D44" s="16" t="n"/>
      <c r="E44" s="19" t="inlineStr">
        <is>
          <t>자기개발</t>
        </is>
      </c>
      <c r="F44" s="16" t="inlineStr">
        <is>
          <t>강의</t>
        </is>
      </c>
      <c r="G44" s="16" t="inlineStr">
        <is>
          <t>자격증</t>
        </is>
      </c>
      <c r="H44" s="16" t="inlineStr">
        <is>
          <t>도서</t>
        </is>
      </c>
      <c r="I44" s="16" t="inlineStr">
        <is>
          <t>AI</t>
        </is>
      </c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>
      <c r="A45" s="16" t="n"/>
      <c r="B45" s="16" t="n"/>
      <c r="C45" s="16" t="n"/>
      <c r="D45" s="16" t="n"/>
      <c r="E45" s="19" t="inlineStr">
        <is>
          <t>여가</t>
        </is>
      </c>
      <c r="F45" s="16" t="inlineStr">
        <is>
          <t>문화생활</t>
        </is>
      </c>
      <c r="G45" s="16" t="inlineStr">
        <is>
          <t>여행</t>
        </is>
      </c>
      <c r="H45" s="16" t="inlineStr">
        <is>
          <t>취미활동</t>
        </is>
      </c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16" t="n"/>
      <c r="B46" s="16" t="n"/>
      <c r="C46" s="16" t="n"/>
      <c r="D46" s="16" t="n"/>
      <c r="E46" s="19" t="inlineStr">
        <is>
          <t>품위유지비</t>
        </is>
      </c>
      <c r="F46" s="16" t="inlineStr">
        <is>
          <t>의류</t>
        </is>
      </c>
      <c r="G46" s="16" t="inlineStr">
        <is>
          <t>미용</t>
        </is>
      </c>
      <c r="H46" s="16" t="inlineStr">
        <is>
          <t>잡화</t>
        </is>
      </c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16" t="n"/>
      <c r="B47" s="16" t="n"/>
      <c r="C47" s="16" t="n"/>
      <c r="D47" s="16" t="n"/>
      <c r="E47" s="19" t="inlineStr">
        <is>
          <t>관계비</t>
        </is>
      </c>
      <c r="F47" s="16" t="inlineStr">
        <is>
          <t>가족</t>
        </is>
      </c>
      <c r="G47" s="16" t="inlineStr">
        <is>
          <t>데이트</t>
        </is>
      </c>
      <c r="H47" s="16" t="inlineStr">
        <is>
          <t>선물</t>
        </is>
      </c>
      <c r="I47" s="16" t="inlineStr">
        <is>
          <t>모임</t>
        </is>
      </c>
      <c r="J47" s="16" t="inlineStr">
        <is>
          <t>지인</t>
        </is>
      </c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16" t="n"/>
      <c r="B48" s="16" t="n"/>
      <c r="C48" s="16" t="n"/>
      <c r="D48" s="16" t="n"/>
      <c r="E48" s="19" t="inlineStr">
        <is>
          <t>이벤트비</t>
        </is>
      </c>
      <c r="F48" s="16" t="inlineStr">
        <is>
          <t>명절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16" t="n"/>
      <c r="B49" s="16" t="n"/>
      <c r="C49" s="16" t="n"/>
      <c r="D49" s="16" t="n"/>
      <c r="E49" s="19" t="inlineStr">
        <is>
          <t>의료비</t>
        </is>
      </c>
      <c r="F49" s="16" t="inlineStr">
        <is>
          <t>병원</t>
        </is>
      </c>
      <c r="G49" s="16" t="inlineStr">
        <is>
          <t>약국</t>
        </is>
      </c>
      <c r="H49" s="16" t="inlineStr">
        <is>
          <t>영양제</t>
        </is>
      </c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16" t="n"/>
      <c r="B50" s="16" t="n"/>
      <c r="C50" s="16" t="n"/>
      <c r="D50" s="16" t="n"/>
      <c r="E50" s="19" t="inlineStr">
        <is>
          <t>경조사비</t>
        </is>
      </c>
      <c r="F50" s="16" t="inlineStr">
        <is>
          <t>축의금</t>
        </is>
      </c>
      <c r="G50" s="16" t="inlineStr">
        <is>
          <t>부의금</t>
        </is>
      </c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16" t="n"/>
      <c r="B51" s="16" t="n"/>
      <c r="C51" s="16" t="n"/>
      <c r="D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</sheetData>
  <mergeCells count="28">
    <mergeCell ref="O5:Q5"/>
    <mergeCell ref="E30:E34"/>
    <mergeCell ref="E4:E16"/>
    <mergeCell ref="O4:Q4"/>
    <mergeCell ref="G19:G20"/>
    <mergeCell ref="O16:Q16"/>
    <mergeCell ref="H1:J2"/>
    <mergeCell ref="E35:E36"/>
    <mergeCell ref="M18:O18"/>
    <mergeCell ref="O12:Q12"/>
    <mergeCell ref="O8:Q8"/>
    <mergeCell ref="B29:B34"/>
    <mergeCell ref="B23:B28"/>
    <mergeCell ref="H19:H20"/>
    <mergeCell ref="O11:Q11"/>
    <mergeCell ref="O14:Q14"/>
    <mergeCell ref="F40:O40"/>
    <mergeCell ref="O13:Q13"/>
    <mergeCell ref="E21:E29"/>
    <mergeCell ref="O7:Q7"/>
    <mergeCell ref="J19:K20"/>
    <mergeCell ref="G1:G2"/>
    <mergeCell ref="I19:I20"/>
    <mergeCell ref="O10:Q10"/>
    <mergeCell ref="O15:Q15"/>
    <mergeCell ref="B2:C3"/>
    <mergeCell ref="O6:Q6"/>
    <mergeCell ref="O9:Q9"/>
  </mergeCells>
  <conditionalFormatting sqref="G5:G16">
    <cfRule type="notContainsBlanks" priority="1" dxfId="2">
      <formula>LEN(TRIM(G5))&gt;0</formula>
    </cfRule>
  </conditionalFormatting>
  <dataValidations count="2">
    <dataValidation sqref="F22:F31 F35 I5:I16 I24:I29" showDropDown="0" showInputMessage="0" showErrorMessage="1" allowBlank="1" type="list">
      <formula1>"국민은행,신한은행,우리은행,카카오뱅크,새마을금고,농협은행,케이뱅크,하나은행,기업은행,상상인뱅크,새마을금고,하나저축은행"</formula1>
    </dataValidation>
    <dataValidation sqref="G5:G16" showDropDown="0" showInputMessage="0" showErrorMessage="1" allowBlank="1" type="list">
      <formula1>"진행중,만기,시작전"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B3:C15"/>
  <sheetViews>
    <sheetView workbookViewId="0">
      <selection activeCell="A1" sqref="A1"/>
    </sheetView>
  </sheetViews>
  <sheetFormatPr baseColWidth="8" defaultColWidth="12.63" defaultRowHeight="15.75" customHeight="1"/>
  <cols>
    <col width="42.75" customWidth="1" style="102" min="3" max="3"/>
  </cols>
  <sheetData>
    <row r="3">
      <c r="B3" s="101" t="n">
        <v>1</v>
      </c>
      <c r="C3" s="101" t="inlineStr">
        <is>
          <t>드롭다운 관련 데이터 확인 규칙</t>
        </is>
      </c>
    </row>
    <row r="4">
      <c r="C4" s="101" t="inlineStr">
        <is>
          <t>데이터 &gt; 데이터 확인 &gt; 기준(드롭다운) 원하는 색상 지정</t>
        </is>
      </c>
    </row>
    <row r="6">
      <c r="B6" s="101" t="n">
        <v>2</v>
      </c>
      <c r="C6" s="101" t="inlineStr">
        <is>
          <t>조건부 서식 추가</t>
        </is>
      </c>
    </row>
    <row r="7">
      <c r="C7" s="101" t="inlineStr">
        <is>
          <t>셀 지정 &gt; 서식 &gt; 조건부 서식 &gt; 조건 추가 &gt; 형식규칙(맞춤 수식) 지정</t>
        </is>
      </c>
    </row>
    <row r="8">
      <c r="C8" s="101" t="inlineStr">
        <is>
          <t>ex ) 70%미만은 연한 빨강색 70% 이상은 연두색</t>
        </is>
      </c>
    </row>
    <row r="9">
      <c r="C9" s="101" t="inlineStr">
        <is>
          <t>밑의 ()는 수식으로 인해 임의 추가</t>
        </is>
      </c>
    </row>
    <row r="10">
      <c r="C10" s="101" t="inlineStr">
        <is>
          <t>(=C9&lt;0.7)일 경우 70%미만 0.7은 70%라는 의미</t>
        </is>
      </c>
    </row>
    <row r="11">
      <c r="C11" s="101" t="inlineStr">
        <is>
          <t>이상일 경우 =C9&gt;=0.7 기입</t>
        </is>
      </c>
    </row>
    <row r="12">
      <c r="C12" s="101" t="inlineStr">
        <is>
          <t>이렇게되면 70%미만은 연한빨강 이상은 연두로 표시</t>
        </is>
      </c>
    </row>
    <row r="14">
      <c r="B14" s="101" t="n">
        <v>3</v>
      </c>
      <c r="C14" s="101" t="inlineStr">
        <is>
          <t>연과 월 체크 수식</t>
        </is>
      </c>
    </row>
    <row r="15">
      <c r="C15" s="101">
        <f>IF(
  (COLUMN()-COLUMN($W$6)+2) + 7*INT((ROW()-ROW($W$6))/3) - WEEKDAY(DATE('(필수)설정 시트'!$B$2, $D$1, 1), 1) &lt;= 0,
  "", 
  IF(
    (COLUMN()-COLUMN($W$6)+2) + 7*INT((ROW()-ROW($W$6))/3) - WEEKDAY(DATE('(필수)설정 시트'!$B$2, $D$1, 1), 1) &gt; DAY(EOMONTH(DATE('(필수)설정 시트'!$B$2, $D$1, 1), 0)),
    "",
    TEXT(
      DATE('(필수)설정 시트'!$B$2, $D$1, 1) + 
      (COLUMN()-COLUMN($W$6)+2) + 7*INT((ROW()-ROW($W$6))/3) - WEEKDAY(DATE('(필수)설정 시트'!$B$2, $D$1, 1), 1) - 1,
      "d"
    )
  )
)
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97093"/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4" customWidth="1" style="102" min="1" max="1"/>
    <col width="16" customWidth="1" style="102" min="2" max="2"/>
    <col width="16" customWidth="1" style="102" min="3" max="3"/>
    <col width="16" customWidth="1" style="102" min="4" max="4"/>
    <col width="16" customWidth="1" style="102" min="5" max="5"/>
    <col width="16" customWidth="1" style="102" min="6" max="6"/>
    <col width="16" customWidth="1" style="102" min="7" max="7"/>
    <col width="16" customWidth="1" style="102" min="8" max="8"/>
    <col width="16" customWidth="1" style="102" min="9" max="9"/>
    <col width="16" customWidth="1" style="102" min="10" max="10"/>
    <col width="16" customWidth="1" style="102" min="11" max="11"/>
    <col width="16" customWidth="1" style="102" min="12" max="12"/>
    <col width="16" customWidth="1" style="102" min="13" max="13"/>
    <col width="16" customWidth="1" style="102" min="14" max="14"/>
    <col width="16" customWidth="1" style="102" min="15" max="15"/>
    <col width="16" customWidth="1" style="102" min="16" max="16"/>
  </cols>
  <sheetData>
    <row r="1" ht="22" customHeight="1" s="102">
      <c r="A1" s="117" t="inlineStr">
        <is>
          <t>고정비</t>
        </is>
      </c>
      <c r="B1" s="118" t="inlineStr">
        <is>
          <t>통신비</t>
        </is>
      </c>
      <c r="C1" s="118" t="inlineStr">
        <is>
          <t>기후동행카드</t>
        </is>
      </c>
      <c r="D1" s="118" t="inlineStr">
        <is>
          <t>스트리밍 서비스</t>
        </is>
      </c>
      <c r="E1" s="118" t="inlineStr">
        <is>
          <t>멜론</t>
        </is>
      </c>
      <c r="F1" s="118" t="inlineStr">
        <is>
          <t>보험료</t>
        </is>
      </c>
      <c r="G1" s="118" t="inlineStr">
        <is>
          <t>생활비</t>
        </is>
      </c>
      <c r="H1" s="118" t="inlineStr">
        <is>
          <t>카카오이모티콘</t>
        </is>
      </c>
      <c r="I1" s="118" t="inlineStr">
        <is>
          <t>주택청약</t>
        </is>
      </c>
      <c r="J1" s="118" t="inlineStr">
        <is>
          <t>적금</t>
        </is>
      </c>
      <c r="K1" s="118" t="n"/>
      <c r="L1" s="118" t="n"/>
      <c r="M1" s="118" t="n"/>
      <c r="N1" s="118" t="n"/>
      <c r="O1" s="118" t="n"/>
      <c r="P1" s="118" t="n"/>
    </row>
    <row r="2" ht="22" customHeight="1" s="102">
      <c r="A2" s="117" t="inlineStr">
        <is>
          <t>교통비</t>
        </is>
      </c>
      <c r="B2" s="118" t="inlineStr">
        <is>
          <t>지하철비</t>
        </is>
      </c>
      <c r="C2" s="118" t="inlineStr">
        <is>
          <t>주유비</t>
        </is>
      </c>
      <c r="D2" s="118" t="inlineStr">
        <is>
          <t>택시비</t>
        </is>
      </c>
      <c r="E2" s="118" t="inlineStr">
        <is>
          <t>주차비</t>
        </is>
      </c>
      <c r="F2" s="118" t="n"/>
      <c r="G2" s="118" t="n"/>
      <c r="H2" s="118" t="n"/>
      <c r="I2" s="118" t="n"/>
      <c r="J2" s="118" t="n"/>
      <c r="K2" s="118" t="n"/>
      <c r="L2" s="118" t="n"/>
      <c r="M2" s="118" t="n"/>
      <c r="N2" s="118" t="n"/>
      <c r="O2" s="118" t="n"/>
      <c r="P2" s="118" t="n"/>
    </row>
    <row r="3" ht="22" customHeight="1" s="102">
      <c r="A3" s="117" t="inlineStr">
        <is>
          <t>식비</t>
        </is>
      </c>
      <c r="B3" s="118" t="inlineStr">
        <is>
          <t>간식/카페</t>
        </is>
      </c>
      <c r="C3" s="118" t="inlineStr">
        <is>
          <t>외식</t>
        </is>
      </c>
      <c r="D3" s="118" t="inlineStr">
        <is>
          <t>식재료비</t>
        </is>
      </c>
      <c r="E3" s="118" t="inlineStr">
        <is>
          <t>아침</t>
        </is>
      </c>
      <c r="F3" s="118" t="inlineStr">
        <is>
          <t>점심</t>
        </is>
      </c>
      <c r="G3" s="118" t="inlineStr">
        <is>
          <t>저녁</t>
        </is>
      </c>
      <c r="H3" s="118" t="inlineStr">
        <is>
          <t>배달</t>
        </is>
      </c>
      <c r="I3" s="118" t="n"/>
      <c r="J3" s="118" t="n"/>
      <c r="K3" s="118" t="n"/>
      <c r="L3" s="118" t="n"/>
      <c r="M3" s="118" t="n"/>
      <c r="N3" s="118" t="n"/>
      <c r="O3" s="118" t="n"/>
      <c r="P3" s="118" t="n"/>
    </row>
    <row r="4" ht="22" customHeight="1" s="102">
      <c r="A4" s="117" t="inlineStr">
        <is>
          <t>자기개발</t>
        </is>
      </c>
      <c r="B4" s="118" t="inlineStr">
        <is>
          <t>강의</t>
        </is>
      </c>
      <c r="C4" s="118" t="inlineStr">
        <is>
          <t>자격증</t>
        </is>
      </c>
      <c r="D4" s="118" t="inlineStr">
        <is>
          <t>도서</t>
        </is>
      </c>
      <c r="E4" s="118" t="inlineStr">
        <is>
          <t>AI</t>
        </is>
      </c>
      <c r="F4" s="118" t="n"/>
      <c r="G4" s="118" t="n"/>
      <c r="H4" s="118" t="n"/>
      <c r="I4" s="118" t="n"/>
      <c r="J4" s="118" t="n"/>
      <c r="K4" s="118" t="n"/>
      <c r="L4" s="118" t="n"/>
      <c r="M4" s="118" t="n"/>
      <c r="N4" s="118" t="n"/>
      <c r="O4" s="118" t="n"/>
      <c r="P4" s="118" t="n"/>
    </row>
    <row r="5" ht="22" customHeight="1" s="102">
      <c r="A5" s="117" t="inlineStr">
        <is>
          <t>여가</t>
        </is>
      </c>
      <c r="B5" s="118" t="inlineStr">
        <is>
          <t>문화생활</t>
        </is>
      </c>
      <c r="C5" s="118" t="inlineStr">
        <is>
          <t>여행</t>
        </is>
      </c>
      <c r="D5" s="118" t="inlineStr">
        <is>
          <t>취미활동</t>
        </is>
      </c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</row>
    <row r="6" ht="22" customHeight="1" s="102">
      <c r="A6" s="117" t="inlineStr">
        <is>
          <t>품위유지비</t>
        </is>
      </c>
      <c r="B6" s="118" t="inlineStr">
        <is>
          <t>의류</t>
        </is>
      </c>
      <c r="C6" s="118" t="inlineStr">
        <is>
          <t>미용</t>
        </is>
      </c>
      <c r="D6" s="118" t="inlineStr">
        <is>
          <t>잡화</t>
        </is>
      </c>
      <c r="E6" s="118" t="n"/>
      <c r="F6" s="118" t="n"/>
      <c r="G6" s="118" t="n"/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</row>
    <row r="7" ht="22" customHeight="1" s="102">
      <c r="A7" s="117" t="inlineStr">
        <is>
          <t>관계비</t>
        </is>
      </c>
      <c r="B7" s="118" t="inlineStr">
        <is>
          <t>가족</t>
        </is>
      </c>
      <c r="C7" s="118" t="inlineStr">
        <is>
          <t>데이트</t>
        </is>
      </c>
      <c r="D7" s="118" t="inlineStr">
        <is>
          <t>선물</t>
        </is>
      </c>
      <c r="E7" s="118" t="inlineStr">
        <is>
          <t>모임</t>
        </is>
      </c>
      <c r="F7" s="118" t="inlineStr">
        <is>
          <t>지인</t>
        </is>
      </c>
      <c r="G7" s="118" t="n"/>
      <c r="H7" s="118" t="n"/>
      <c r="I7" s="118" t="n"/>
      <c r="J7" s="118" t="n"/>
      <c r="K7" s="118" t="n"/>
      <c r="L7" s="118" t="n"/>
      <c r="M7" s="118" t="n"/>
      <c r="N7" s="118" t="n"/>
      <c r="O7" s="118" t="n"/>
      <c r="P7" s="118" t="n"/>
    </row>
    <row r="8" ht="22" customHeight="1" s="102">
      <c r="A8" s="117" t="inlineStr">
        <is>
          <t>이벤트비</t>
        </is>
      </c>
      <c r="B8" s="118" t="inlineStr">
        <is>
          <t>명절</t>
        </is>
      </c>
      <c r="C8" s="118" t="n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</row>
    <row r="9" ht="22" customHeight="1" s="102">
      <c r="A9" s="117" t="inlineStr">
        <is>
          <t>의료비</t>
        </is>
      </c>
      <c r="B9" s="118" t="inlineStr">
        <is>
          <t>병원</t>
        </is>
      </c>
      <c r="C9" s="118" t="inlineStr">
        <is>
          <t>약국</t>
        </is>
      </c>
      <c r="D9" s="118" t="inlineStr">
        <is>
          <t>영양제</t>
        </is>
      </c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</row>
    <row r="10" ht="22" customHeight="1" s="102">
      <c r="A10" s="117" t="inlineStr">
        <is>
          <t>경조사비</t>
        </is>
      </c>
      <c r="B10" s="118" t="inlineStr">
        <is>
          <t>축의금</t>
        </is>
      </c>
      <c r="C10" s="118" t="inlineStr">
        <is>
          <t>부의금</t>
        </is>
      </c>
      <c r="D10" s="118" t="n"/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  <c r="N10" s="118" t="n"/>
      <c r="O10" s="118" t="n"/>
      <c r="P10" s="118" t="n"/>
    </row>
    <row r="11" ht="22" customHeight="1" s="102">
      <c r="A11" s="118" t="n"/>
      <c r="B11" s="118" t="n"/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</row>
    <row r="12" ht="22" customHeight="1" s="102">
      <c r="A12" s="118" t="n"/>
      <c r="B12" s="118" t="n"/>
      <c r="C12" s="118" t="n"/>
      <c r="D12" s="118" t="n"/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</row>
    <row r="13" ht="22" customHeight="1" s="102">
      <c r="A13" s="118" t="n"/>
      <c r="B13" s="118" t="n"/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</row>
    <row r="14" ht="22" customHeight="1" s="102">
      <c r="A14" s="118" t="n"/>
      <c r="B14" s="118" t="n"/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</row>
    <row r="15" ht="22" customHeight="1" s="102">
      <c r="A15" s="118" t="n"/>
      <c r="B15" s="118" t="n"/>
      <c r="C15" s="118" t="n"/>
      <c r="D15" s="118" t="n"/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8" t="n"/>
      <c r="N15" s="118" t="n"/>
      <c r="O15" s="118" t="n"/>
      <c r="P15" s="118" t="n"/>
    </row>
    <row r="16" ht="22" customHeight="1" s="102">
      <c r="A16" s="118" t="n"/>
      <c r="B16" s="118" t="n"/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8" t="n"/>
      <c r="N16" s="118" t="n"/>
      <c r="O16" s="118" t="n"/>
      <c r="P16" s="118" t="n"/>
    </row>
    <row r="17" ht="22" customHeight="1" s="102">
      <c r="A17" s="118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  <c r="O17" s="118" t="n"/>
      <c r="P17" s="118" t="n"/>
    </row>
    <row r="18" ht="22" customHeight="1" s="102">
      <c r="A18" s="118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  <c r="O18" s="118" t="n"/>
      <c r="P18" s="118" t="n"/>
    </row>
    <row r="19" ht="22" customHeight="1" s="102">
      <c r="A19" s="118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  <c r="O19" s="118" t="n"/>
      <c r="P19" s="118" t="n"/>
    </row>
    <row r="20" ht="22" customHeight="1" s="102">
      <c r="A20" s="118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  <c r="O20" s="118" t="n"/>
      <c r="P20" s="118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4AFC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style="102" min="1" max="1"/>
    <col width="18" customWidth="1" style="102" min="2" max="2"/>
  </cols>
  <sheetData>
    <row r="1" ht="22" customHeight="1" s="102">
      <c r="A1" s="118" t="n"/>
      <c r="B1" s="118" t="n"/>
    </row>
    <row r="2" ht="22" customHeight="1" s="102">
      <c r="A2" s="118" t="n"/>
      <c r="B2" s="118" t="n"/>
    </row>
    <row r="3" ht="22" customHeight="1" s="102">
      <c r="A3" s="118" t="n"/>
      <c r="B3" s="118" t="n"/>
    </row>
    <row r="4" ht="22" customHeight="1" s="102">
      <c r="A4" s="118" t="n"/>
      <c r="B4" s="118" t="n"/>
    </row>
    <row r="5" ht="22" customHeight="1" s="102">
      <c r="A5" s="118" t="n"/>
      <c r="B5" s="118" t="n"/>
    </row>
    <row r="6" ht="22" customHeight="1" s="102">
      <c r="A6" s="119" t="n"/>
      <c r="B6" s="119" t="n"/>
    </row>
    <row r="7" ht="22" customHeight="1" s="102">
      <c r="A7" s="119" t="n"/>
      <c r="B7" s="119" t="n"/>
    </row>
    <row r="8" ht="22" customHeight="1" s="102">
      <c r="A8" s="119" t="n"/>
      <c r="B8" s="119" t="n"/>
    </row>
    <row r="9" ht="22" customHeight="1" s="102">
      <c r="A9" s="119" t="n"/>
      <c r="B9" s="119" t="n"/>
    </row>
    <row r="10" ht="22" customHeight="1" s="102">
      <c r="A10" s="119" t="n"/>
      <c r="B10" s="1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2026-03-17T23:58:44Z</dcterms:created>
  <dcterms:modified xsi:type="dcterms:W3CDTF">2026-03-18T00:15:45Z</dcterms:modified>
</cp:coreProperties>
</file>